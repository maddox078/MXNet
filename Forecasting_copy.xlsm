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mm61\OneDrive\Desktop\"/>
    </mc:Choice>
  </mc:AlternateContent>
  <xr:revisionPtr revIDLastSave="0" documentId="8_{4ED1F9E0-4800-4265-8F00-A30F77B507FD}" xr6:coauthVersionLast="47" xr6:coauthVersionMax="47" xr10:uidLastSave="{00000000-0000-0000-0000-000000000000}"/>
  <bookViews>
    <workbookView xWindow="-120" yWindow="-120" windowWidth="51840" windowHeight="21120" activeTab="2" xr2:uid="{E813E94C-7494-4F12-B872-BAC76E8D998B}"/>
  </bookViews>
  <sheets>
    <sheet name="RawData" sheetId="1" r:id="rId1"/>
    <sheet name="NormData" sheetId="2" r:id="rId2"/>
    <sheet name="FinalData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" i="3" l="1" a="1"/>
  <c r="O1" i="3" s="1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K5" i="3"/>
  <c r="K6" i="3"/>
  <c r="K8" i="3"/>
  <c r="K13" i="3"/>
  <c r="K14" i="3"/>
  <c r="K15" i="3"/>
  <c r="K16" i="3"/>
  <c r="K21" i="3"/>
  <c r="K22" i="3"/>
  <c r="K24" i="3"/>
  <c r="K29" i="3"/>
  <c r="K30" i="3"/>
  <c r="K31" i="3"/>
  <c r="K32" i="3"/>
  <c r="K37" i="3"/>
  <c r="K38" i="3"/>
  <c r="K40" i="3"/>
  <c r="K45" i="3"/>
  <c r="K46" i="3"/>
  <c r="K47" i="3"/>
  <c r="K48" i="3"/>
  <c r="K53" i="3"/>
  <c r="K54" i="3"/>
  <c r="K56" i="3"/>
  <c r="K61" i="3"/>
  <c r="K62" i="3"/>
  <c r="K63" i="3"/>
  <c r="K64" i="3"/>
  <c r="K69" i="3"/>
  <c r="K70" i="3"/>
  <c r="K72" i="3"/>
  <c r="K77" i="3"/>
  <c r="K78" i="3"/>
  <c r="K79" i="3"/>
  <c r="K80" i="3"/>
  <c r="K85" i="3"/>
  <c r="K86" i="3"/>
  <c r="K88" i="3"/>
  <c r="K93" i="3"/>
  <c r="K94" i="3"/>
  <c r="K95" i="3"/>
  <c r="K96" i="3"/>
  <c r="K101" i="3"/>
  <c r="K102" i="3"/>
  <c r="K104" i="3"/>
  <c r="K109" i="3"/>
  <c r="K110" i="3"/>
  <c r="K111" i="3"/>
  <c r="K112" i="3"/>
  <c r="K117" i="3"/>
  <c r="K118" i="3"/>
  <c r="K120" i="3"/>
  <c r="K125" i="3"/>
  <c r="K126" i="3"/>
  <c r="K127" i="3"/>
  <c r="K128" i="3"/>
  <c r="K133" i="3"/>
  <c r="K134" i="3"/>
  <c r="K136" i="3"/>
  <c r="K141" i="3"/>
  <c r="K142" i="3"/>
  <c r="K143" i="3"/>
  <c r="K144" i="3"/>
  <c r="K149" i="3"/>
  <c r="K150" i="3"/>
  <c r="K152" i="3"/>
  <c r="K157" i="3"/>
  <c r="K158" i="3"/>
  <c r="K159" i="3"/>
  <c r="K160" i="3"/>
  <c r="K165" i="3"/>
  <c r="K166" i="3"/>
  <c r="K168" i="3"/>
  <c r="K173" i="3"/>
  <c r="K174" i="3"/>
  <c r="K175" i="3"/>
  <c r="K176" i="3"/>
  <c r="K181" i="3"/>
  <c r="K182" i="3"/>
  <c r="K184" i="3"/>
  <c r="K189" i="3"/>
  <c r="K190" i="3"/>
  <c r="K191" i="3"/>
  <c r="K192" i="3"/>
  <c r="K197" i="3"/>
  <c r="K198" i="3"/>
  <c r="K200" i="3"/>
  <c r="K205" i="3"/>
  <c r="K206" i="3"/>
  <c r="K207" i="3"/>
  <c r="K208" i="3"/>
  <c r="K213" i="3"/>
  <c r="K214" i="3"/>
  <c r="K216" i="3"/>
  <c r="K221" i="3"/>
  <c r="K222" i="3"/>
  <c r="K223" i="3"/>
  <c r="K224" i="3"/>
  <c r="K229" i="3"/>
  <c r="K230" i="3"/>
  <c r="K232" i="3"/>
  <c r="K237" i="3"/>
  <c r="K238" i="3"/>
  <c r="K239" i="3"/>
  <c r="K240" i="3"/>
  <c r="K245" i="3"/>
  <c r="K246" i="3"/>
  <c r="K248" i="3"/>
  <c r="K253" i="3"/>
  <c r="K254" i="3"/>
  <c r="K255" i="3"/>
  <c r="K256" i="3"/>
  <c r="K261" i="3"/>
  <c r="K262" i="3"/>
  <c r="K264" i="3"/>
  <c r="K269" i="3"/>
  <c r="K270" i="3"/>
  <c r="K271" i="3"/>
  <c r="K272" i="3"/>
  <c r="K277" i="3"/>
  <c r="K278" i="3"/>
  <c r="K280" i="3"/>
  <c r="K285" i="3"/>
  <c r="K286" i="3"/>
  <c r="K287" i="3"/>
  <c r="K288" i="3"/>
  <c r="K293" i="3"/>
  <c r="K294" i="3"/>
  <c r="K296" i="3"/>
  <c r="K301" i="3"/>
  <c r="K302" i="3"/>
  <c r="K303" i="3"/>
  <c r="K304" i="3"/>
  <c r="K309" i="3"/>
  <c r="K310" i="3"/>
  <c r="K312" i="3"/>
  <c r="K317" i="3"/>
  <c r="K318" i="3"/>
  <c r="K319" i="3"/>
  <c r="K320" i="3"/>
  <c r="K325" i="3"/>
  <c r="K326" i="3"/>
  <c r="K327" i="3"/>
  <c r="K328" i="3"/>
  <c r="K333" i="3"/>
  <c r="K334" i="3"/>
  <c r="K335" i="3"/>
  <c r="K336" i="3"/>
  <c r="K341" i="3"/>
  <c r="K342" i="3"/>
  <c r="K343" i="3"/>
  <c r="K344" i="3"/>
  <c r="K349" i="3"/>
  <c r="K350" i="3"/>
  <c r="K351" i="3"/>
  <c r="K352" i="3"/>
  <c r="K357" i="3"/>
  <c r="K358" i="3"/>
  <c r="K359" i="3"/>
  <c r="K360" i="3"/>
  <c r="K365" i="3"/>
  <c r="K366" i="3"/>
  <c r="K367" i="3"/>
  <c r="K368" i="3"/>
  <c r="K373" i="3"/>
  <c r="K374" i="3"/>
  <c r="K375" i="3"/>
  <c r="K376" i="3"/>
  <c r="K381" i="3"/>
  <c r="K382" i="3"/>
  <c r="K383" i="3"/>
  <c r="K384" i="3"/>
  <c r="K389" i="3"/>
  <c r="K390" i="3"/>
  <c r="K391" i="3"/>
  <c r="K392" i="3"/>
  <c r="K397" i="3"/>
  <c r="K398" i="3"/>
  <c r="K399" i="3"/>
  <c r="K400" i="3"/>
  <c r="L2" i="3"/>
  <c r="H2" i="3"/>
  <c r="K2" i="3" s="1"/>
  <c r="H3" i="3"/>
  <c r="K3" i="3" s="1"/>
  <c r="H4" i="3"/>
  <c r="K4" i="3" s="1"/>
  <c r="H5" i="3"/>
  <c r="H6" i="3"/>
  <c r="H7" i="3"/>
  <c r="K7" i="3" s="1"/>
  <c r="H8" i="3"/>
  <c r="H9" i="3"/>
  <c r="K9" i="3" s="1"/>
  <c r="H10" i="3"/>
  <c r="K10" i="3" s="1"/>
  <c r="H11" i="3"/>
  <c r="K11" i="3" s="1"/>
  <c r="H12" i="3"/>
  <c r="K12" i="3" s="1"/>
  <c r="H13" i="3"/>
  <c r="H14" i="3"/>
  <c r="H15" i="3"/>
  <c r="H16" i="3"/>
  <c r="H17" i="3"/>
  <c r="K17" i="3" s="1"/>
  <c r="H18" i="3"/>
  <c r="K18" i="3" s="1"/>
  <c r="H19" i="3"/>
  <c r="K19" i="3" s="1"/>
  <c r="H20" i="3"/>
  <c r="K20" i="3" s="1"/>
  <c r="H21" i="3"/>
  <c r="H22" i="3"/>
  <c r="H23" i="3"/>
  <c r="K23" i="3" s="1"/>
  <c r="H24" i="3"/>
  <c r="H25" i="3"/>
  <c r="K25" i="3" s="1"/>
  <c r="H26" i="3"/>
  <c r="K26" i="3" s="1"/>
  <c r="H27" i="3"/>
  <c r="K27" i="3" s="1"/>
  <c r="H28" i="3"/>
  <c r="K28" i="3" s="1"/>
  <c r="H29" i="3"/>
  <c r="H30" i="3"/>
  <c r="H31" i="3"/>
  <c r="H32" i="3"/>
  <c r="H33" i="3"/>
  <c r="K33" i="3" s="1"/>
  <c r="H34" i="3"/>
  <c r="K34" i="3" s="1"/>
  <c r="H35" i="3"/>
  <c r="K35" i="3" s="1"/>
  <c r="H36" i="3"/>
  <c r="K36" i="3" s="1"/>
  <c r="H37" i="3"/>
  <c r="H38" i="3"/>
  <c r="H39" i="3"/>
  <c r="K39" i="3" s="1"/>
  <c r="H40" i="3"/>
  <c r="H41" i="3"/>
  <c r="K41" i="3" s="1"/>
  <c r="H42" i="3"/>
  <c r="K42" i="3" s="1"/>
  <c r="H43" i="3"/>
  <c r="K43" i="3" s="1"/>
  <c r="H44" i="3"/>
  <c r="K44" i="3" s="1"/>
  <c r="H45" i="3"/>
  <c r="H46" i="3"/>
  <c r="H47" i="3"/>
  <c r="H48" i="3"/>
  <c r="H49" i="3"/>
  <c r="K49" i="3" s="1"/>
  <c r="H50" i="3"/>
  <c r="K50" i="3" s="1"/>
  <c r="H51" i="3"/>
  <c r="K51" i="3" s="1"/>
  <c r="H52" i="3"/>
  <c r="K52" i="3" s="1"/>
  <c r="H53" i="3"/>
  <c r="H54" i="3"/>
  <c r="H55" i="3"/>
  <c r="K55" i="3" s="1"/>
  <c r="H56" i="3"/>
  <c r="H57" i="3"/>
  <c r="K57" i="3" s="1"/>
  <c r="H58" i="3"/>
  <c r="K58" i="3" s="1"/>
  <c r="H59" i="3"/>
  <c r="K59" i="3" s="1"/>
  <c r="H60" i="3"/>
  <c r="K60" i="3" s="1"/>
  <c r="H61" i="3"/>
  <c r="H62" i="3"/>
  <c r="H63" i="3"/>
  <c r="H64" i="3"/>
  <c r="H65" i="3"/>
  <c r="K65" i="3" s="1"/>
  <c r="H66" i="3"/>
  <c r="K66" i="3" s="1"/>
  <c r="H67" i="3"/>
  <c r="K67" i="3" s="1"/>
  <c r="H68" i="3"/>
  <c r="K68" i="3" s="1"/>
  <c r="H69" i="3"/>
  <c r="H70" i="3"/>
  <c r="H71" i="3"/>
  <c r="K71" i="3" s="1"/>
  <c r="H72" i="3"/>
  <c r="H73" i="3"/>
  <c r="K73" i="3" s="1"/>
  <c r="H74" i="3"/>
  <c r="K74" i="3" s="1"/>
  <c r="H75" i="3"/>
  <c r="K75" i="3" s="1"/>
  <c r="H76" i="3"/>
  <c r="K76" i="3" s="1"/>
  <c r="H77" i="3"/>
  <c r="H78" i="3"/>
  <c r="H79" i="3"/>
  <c r="H80" i="3"/>
  <c r="H81" i="3"/>
  <c r="K81" i="3" s="1"/>
  <c r="H82" i="3"/>
  <c r="K82" i="3" s="1"/>
  <c r="H83" i="3"/>
  <c r="K83" i="3" s="1"/>
  <c r="H84" i="3"/>
  <c r="K84" i="3" s="1"/>
  <c r="H85" i="3"/>
  <c r="H86" i="3"/>
  <c r="H87" i="3"/>
  <c r="K87" i="3" s="1"/>
  <c r="H88" i="3"/>
  <c r="H89" i="3"/>
  <c r="K89" i="3" s="1"/>
  <c r="H90" i="3"/>
  <c r="K90" i="3" s="1"/>
  <c r="H91" i="3"/>
  <c r="K91" i="3" s="1"/>
  <c r="H92" i="3"/>
  <c r="K92" i="3" s="1"/>
  <c r="H93" i="3"/>
  <c r="H94" i="3"/>
  <c r="H95" i="3"/>
  <c r="H96" i="3"/>
  <c r="H97" i="3"/>
  <c r="K97" i="3" s="1"/>
  <c r="H98" i="3"/>
  <c r="K98" i="3" s="1"/>
  <c r="H99" i="3"/>
  <c r="K99" i="3" s="1"/>
  <c r="H100" i="3"/>
  <c r="K100" i="3" s="1"/>
  <c r="H101" i="3"/>
  <c r="H102" i="3"/>
  <c r="H103" i="3"/>
  <c r="K103" i="3" s="1"/>
  <c r="H104" i="3"/>
  <c r="H105" i="3"/>
  <c r="K105" i="3" s="1"/>
  <c r="H106" i="3"/>
  <c r="K106" i="3" s="1"/>
  <c r="H107" i="3"/>
  <c r="K107" i="3" s="1"/>
  <c r="H108" i="3"/>
  <c r="K108" i="3" s="1"/>
  <c r="H109" i="3"/>
  <c r="H110" i="3"/>
  <c r="H111" i="3"/>
  <c r="H112" i="3"/>
  <c r="H113" i="3"/>
  <c r="K113" i="3" s="1"/>
  <c r="H114" i="3"/>
  <c r="K114" i="3" s="1"/>
  <c r="H115" i="3"/>
  <c r="K115" i="3" s="1"/>
  <c r="H116" i="3"/>
  <c r="K116" i="3" s="1"/>
  <c r="H117" i="3"/>
  <c r="H118" i="3"/>
  <c r="H119" i="3"/>
  <c r="K119" i="3" s="1"/>
  <c r="H120" i="3"/>
  <c r="H121" i="3"/>
  <c r="K121" i="3" s="1"/>
  <c r="H122" i="3"/>
  <c r="K122" i="3" s="1"/>
  <c r="H123" i="3"/>
  <c r="K123" i="3" s="1"/>
  <c r="H124" i="3"/>
  <c r="K124" i="3" s="1"/>
  <c r="H125" i="3"/>
  <c r="H126" i="3"/>
  <c r="H127" i="3"/>
  <c r="H128" i="3"/>
  <c r="H129" i="3"/>
  <c r="K129" i="3" s="1"/>
  <c r="H130" i="3"/>
  <c r="K130" i="3" s="1"/>
  <c r="H131" i="3"/>
  <c r="K131" i="3" s="1"/>
  <c r="H132" i="3"/>
  <c r="K132" i="3" s="1"/>
  <c r="H133" i="3"/>
  <c r="H134" i="3"/>
  <c r="H135" i="3"/>
  <c r="K135" i="3" s="1"/>
  <c r="H136" i="3"/>
  <c r="H137" i="3"/>
  <c r="K137" i="3" s="1"/>
  <c r="H138" i="3"/>
  <c r="K138" i="3" s="1"/>
  <c r="H139" i="3"/>
  <c r="K139" i="3" s="1"/>
  <c r="H140" i="3"/>
  <c r="K140" i="3" s="1"/>
  <c r="H141" i="3"/>
  <c r="H142" i="3"/>
  <c r="H143" i="3"/>
  <c r="H144" i="3"/>
  <c r="H145" i="3"/>
  <c r="K145" i="3" s="1"/>
  <c r="H146" i="3"/>
  <c r="K146" i="3" s="1"/>
  <c r="H147" i="3"/>
  <c r="K147" i="3" s="1"/>
  <c r="H148" i="3"/>
  <c r="K148" i="3" s="1"/>
  <c r="H149" i="3"/>
  <c r="H150" i="3"/>
  <c r="H151" i="3"/>
  <c r="K151" i="3" s="1"/>
  <c r="H152" i="3"/>
  <c r="H153" i="3"/>
  <c r="K153" i="3" s="1"/>
  <c r="H154" i="3"/>
  <c r="K154" i="3" s="1"/>
  <c r="H155" i="3"/>
  <c r="K155" i="3" s="1"/>
  <c r="H156" i="3"/>
  <c r="K156" i="3" s="1"/>
  <c r="H157" i="3"/>
  <c r="H158" i="3"/>
  <c r="H159" i="3"/>
  <c r="H160" i="3"/>
  <c r="H161" i="3"/>
  <c r="K161" i="3" s="1"/>
  <c r="H162" i="3"/>
  <c r="K162" i="3" s="1"/>
  <c r="H163" i="3"/>
  <c r="K163" i="3" s="1"/>
  <c r="H164" i="3"/>
  <c r="K164" i="3" s="1"/>
  <c r="H165" i="3"/>
  <c r="H166" i="3"/>
  <c r="H167" i="3"/>
  <c r="K167" i="3" s="1"/>
  <c r="H168" i="3"/>
  <c r="H169" i="3"/>
  <c r="K169" i="3" s="1"/>
  <c r="H170" i="3"/>
  <c r="K170" i="3" s="1"/>
  <c r="H171" i="3"/>
  <c r="K171" i="3" s="1"/>
  <c r="H172" i="3"/>
  <c r="K172" i="3" s="1"/>
  <c r="H173" i="3"/>
  <c r="H174" i="3"/>
  <c r="H175" i="3"/>
  <c r="H176" i="3"/>
  <c r="H177" i="3"/>
  <c r="K177" i="3" s="1"/>
  <c r="H178" i="3"/>
  <c r="K178" i="3" s="1"/>
  <c r="H179" i="3"/>
  <c r="K179" i="3" s="1"/>
  <c r="H180" i="3"/>
  <c r="K180" i="3" s="1"/>
  <c r="H181" i="3"/>
  <c r="H182" i="3"/>
  <c r="H183" i="3"/>
  <c r="K183" i="3" s="1"/>
  <c r="H184" i="3"/>
  <c r="H185" i="3"/>
  <c r="K185" i="3" s="1"/>
  <c r="H186" i="3"/>
  <c r="K186" i="3" s="1"/>
  <c r="H187" i="3"/>
  <c r="K187" i="3" s="1"/>
  <c r="H188" i="3"/>
  <c r="K188" i="3" s="1"/>
  <c r="H189" i="3"/>
  <c r="H190" i="3"/>
  <c r="H191" i="3"/>
  <c r="H192" i="3"/>
  <c r="H193" i="3"/>
  <c r="K193" i="3" s="1"/>
  <c r="H194" i="3"/>
  <c r="K194" i="3" s="1"/>
  <c r="H195" i="3"/>
  <c r="K195" i="3" s="1"/>
  <c r="H196" i="3"/>
  <c r="K196" i="3" s="1"/>
  <c r="H197" i="3"/>
  <c r="H198" i="3"/>
  <c r="H199" i="3"/>
  <c r="K199" i="3" s="1"/>
  <c r="H200" i="3"/>
  <c r="H201" i="3"/>
  <c r="K201" i="3" s="1"/>
  <c r="H202" i="3"/>
  <c r="K202" i="3" s="1"/>
  <c r="H203" i="3"/>
  <c r="K203" i="3" s="1"/>
  <c r="H204" i="3"/>
  <c r="K204" i="3" s="1"/>
  <c r="H205" i="3"/>
  <c r="H206" i="3"/>
  <c r="H207" i="3"/>
  <c r="H208" i="3"/>
  <c r="H209" i="3"/>
  <c r="K209" i="3" s="1"/>
  <c r="H210" i="3"/>
  <c r="K210" i="3" s="1"/>
  <c r="H211" i="3"/>
  <c r="K211" i="3" s="1"/>
  <c r="H212" i="3"/>
  <c r="K212" i="3" s="1"/>
  <c r="H213" i="3"/>
  <c r="H214" i="3"/>
  <c r="H215" i="3"/>
  <c r="K215" i="3" s="1"/>
  <c r="H216" i="3"/>
  <c r="H217" i="3"/>
  <c r="K217" i="3" s="1"/>
  <c r="H218" i="3"/>
  <c r="K218" i="3" s="1"/>
  <c r="H219" i="3"/>
  <c r="K219" i="3" s="1"/>
  <c r="H220" i="3"/>
  <c r="K220" i="3" s="1"/>
  <c r="H221" i="3"/>
  <c r="H222" i="3"/>
  <c r="H223" i="3"/>
  <c r="H224" i="3"/>
  <c r="H225" i="3"/>
  <c r="K225" i="3" s="1"/>
  <c r="H226" i="3"/>
  <c r="K226" i="3" s="1"/>
  <c r="H227" i="3"/>
  <c r="K227" i="3" s="1"/>
  <c r="H228" i="3"/>
  <c r="K228" i="3" s="1"/>
  <c r="H229" i="3"/>
  <c r="H230" i="3"/>
  <c r="H231" i="3"/>
  <c r="K231" i="3" s="1"/>
  <c r="H232" i="3"/>
  <c r="H233" i="3"/>
  <c r="K233" i="3" s="1"/>
  <c r="H234" i="3"/>
  <c r="K234" i="3" s="1"/>
  <c r="H235" i="3"/>
  <c r="K235" i="3" s="1"/>
  <c r="H236" i="3"/>
  <c r="K236" i="3" s="1"/>
  <c r="H237" i="3"/>
  <c r="H238" i="3"/>
  <c r="H239" i="3"/>
  <c r="H240" i="3"/>
  <c r="H241" i="3"/>
  <c r="K241" i="3" s="1"/>
  <c r="H242" i="3"/>
  <c r="K242" i="3" s="1"/>
  <c r="H243" i="3"/>
  <c r="K243" i="3" s="1"/>
  <c r="H244" i="3"/>
  <c r="K244" i="3" s="1"/>
  <c r="H245" i="3"/>
  <c r="H246" i="3"/>
  <c r="H247" i="3"/>
  <c r="K247" i="3" s="1"/>
  <c r="H248" i="3"/>
  <c r="H249" i="3"/>
  <c r="K249" i="3" s="1"/>
  <c r="H250" i="3"/>
  <c r="K250" i="3" s="1"/>
  <c r="H251" i="3"/>
  <c r="K251" i="3" s="1"/>
  <c r="H252" i="3"/>
  <c r="K252" i="3" s="1"/>
  <c r="H253" i="3"/>
  <c r="H254" i="3"/>
  <c r="H255" i="3"/>
  <c r="H256" i="3"/>
  <c r="H257" i="3"/>
  <c r="K257" i="3" s="1"/>
  <c r="H258" i="3"/>
  <c r="K258" i="3" s="1"/>
  <c r="H259" i="3"/>
  <c r="K259" i="3" s="1"/>
  <c r="H260" i="3"/>
  <c r="K260" i="3" s="1"/>
  <c r="H261" i="3"/>
  <c r="H262" i="3"/>
  <c r="H263" i="3"/>
  <c r="K263" i="3" s="1"/>
  <c r="H264" i="3"/>
  <c r="H265" i="3"/>
  <c r="K265" i="3" s="1"/>
  <c r="H266" i="3"/>
  <c r="K266" i="3" s="1"/>
  <c r="H267" i="3"/>
  <c r="K267" i="3" s="1"/>
  <c r="H268" i="3"/>
  <c r="K268" i="3" s="1"/>
  <c r="H269" i="3"/>
  <c r="H270" i="3"/>
  <c r="H271" i="3"/>
  <c r="H272" i="3"/>
  <c r="H273" i="3"/>
  <c r="K273" i="3" s="1"/>
  <c r="H274" i="3"/>
  <c r="K274" i="3" s="1"/>
  <c r="H275" i="3"/>
  <c r="K275" i="3" s="1"/>
  <c r="H276" i="3"/>
  <c r="K276" i="3" s="1"/>
  <c r="H277" i="3"/>
  <c r="H278" i="3"/>
  <c r="H279" i="3"/>
  <c r="K279" i="3" s="1"/>
  <c r="H280" i="3"/>
  <c r="H281" i="3"/>
  <c r="K281" i="3" s="1"/>
  <c r="H282" i="3"/>
  <c r="K282" i="3" s="1"/>
  <c r="H283" i="3"/>
  <c r="K283" i="3" s="1"/>
  <c r="H284" i="3"/>
  <c r="K284" i="3" s="1"/>
  <c r="H285" i="3"/>
  <c r="H286" i="3"/>
  <c r="H287" i="3"/>
  <c r="H288" i="3"/>
  <c r="H289" i="3"/>
  <c r="K289" i="3" s="1"/>
  <c r="H290" i="3"/>
  <c r="K290" i="3" s="1"/>
  <c r="H291" i="3"/>
  <c r="K291" i="3" s="1"/>
  <c r="H292" i="3"/>
  <c r="K292" i="3" s="1"/>
  <c r="H293" i="3"/>
  <c r="H294" i="3"/>
  <c r="H295" i="3"/>
  <c r="K295" i="3" s="1"/>
  <c r="H296" i="3"/>
  <c r="H297" i="3"/>
  <c r="K297" i="3" s="1"/>
  <c r="H298" i="3"/>
  <c r="K298" i="3" s="1"/>
  <c r="H299" i="3"/>
  <c r="K299" i="3" s="1"/>
  <c r="H300" i="3"/>
  <c r="K300" i="3" s="1"/>
  <c r="H301" i="3"/>
  <c r="H302" i="3"/>
  <c r="H303" i="3"/>
  <c r="H304" i="3"/>
  <c r="H305" i="3"/>
  <c r="K305" i="3" s="1"/>
  <c r="H306" i="3"/>
  <c r="K306" i="3" s="1"/>
  <c r="H307" i="3"/>
  <c r="K307" i="3" s="1"/>
  <c r="H308" i="3"/>
  <c r="K308" i="3" s="1"/>
  <c r="H309" i="3"/>
  <c r="H310" i="3"/>
  <c r="H311" i="3"/>
  <c r="K311" i="3" s="1"/>
  <c r="H312" i="3"/>
  <c r="H313" i="3"/>
  <c r="K313" i="3" s="1"/>
  <c r="H314" i="3"/>
  <c r="K314" i="3" s="1"/>
  <c r="H315" i="3"/>
  <c r="K315" i="3" s="1"/>
  <c r="H316" i="3"/>
  <c r="K316" i="3" s="1"/>
  <c r="H317" i="3"/>
  <c r="H318" i="3"/>
  <c r="H319" i="3"/>
  <c r="H320" i="3"/>
  <c r="H321" i="3"/>
  <c r="K321" i="3" s="1"/>
  <c r="H322" i="3"/>
  <c r="K322" i="3" s="1"/>
  <c r="H323" i="3"/>
  <c r="K323" i="3" s="1"/>
  <c r="H324" i="3"/>
  <c r="K324" i="3" s="1"/>
  <c r="H325" i="3"/>
  <c r="H326" i="3"/>
  <c r="H327" i="3"/>
  <c r="H328" i="3"/>
  <c r="H329" i="3"/>
  <c r="K329" i="3" s="1"/>
  <c r="H330" i="3"/>
  <c r="K330" i="3" s="1"/>
  <c r="H331" i="3"/>
  <c r="K331" i="3" s="1"/>
  <c r="H332" i="3"/>
  <c r="K332" i="3" s="1"/>
  <c r="H333" i="3"/>
  <c r="H334" i="3"/>
  <c r="H335" i="3"/>
  <c r="H336" i="3"/>
  <c r="H337" i="3"/>
  <c r="K337" i="3" s="1"/>
  <c r="H338" i="3"/>
  <c r="K338" i="3" s="1"/>
  <c r="H339" i="3"/>
  <c r="K339" i="3" s="1"/>
  <c r="H340" i="3"/>
  <c r="K340" i="3" s="1"/>
  <c r="H341" i="3"/>
  <c r="H342" i="3"/>
  <c r="H343" i="3"/>
  <c r="H344" i="3"/>
  <c r="H345" i="3"/>
  <c r="K345" i="3" s="1"/>
  <c r="H346" i="3"/>
  <c r="K346" i="3" s="1"/>
  <c r="H347" i="3"/>
  <c r="K347" i="3" s="1"/>
  <c r="H348" i="3"/>
  <c r="K348" i="3" s="1"/>
  <c r="H349" i="3"/>
  <c r="H350" i="3"/>
  <c r="H351" i="3"/>
  <c r="H352" i="3"/>
  <c r="H353" i="3"/>
  <c r="K353" i="3" s="1"/>
  <c r="H354" i="3"/>
  <c r="K354" i="3" s="1"/>
  <c r="H355" i="3"/>
  <c r="K355" i="3" s="1"/>
  <c r="H356" i="3"/>
  <c r="K356" i="3" s="1"/>
  <c r="H357" i="3"/>
  <c r="H358" i="3"/>
  <c r="H359" i="3"/>
  <c r="H360" i="3"/>
  <c r="H361" i="3"/>
  <c r="K361" i="3" s="1"/>
  <c r="H362" i="3"/>
  <c r="K362" i="3" s="1"/>
  <c r="H363" i="3"/>
  <c r="K363" i="3" s="1"/>
  <c r="H364" i="3"/>
  <c r="K364" i="3" s="1"/>
  <c r="H365" i="3"/>
  <c r="H366" i="3"/>
  <c r="H367" i="3"/>
  <c r="H368" i="3"/>
  <c r="H369" i="3"/>
  <c r="K369" i="3" s="1"/>
  <c r="H370" i="3"/>
  <c r="K370" i="3" s="1"/>
  <c r="H371" i="3"/>
  <c r="K371" i="3" s="1"/>
  <c r="H372" i="3"/>
  <c r="K372" i="3" s="1"/>
  <c r="H373" i="3"/>
  <c r="H374" i="3"/>
  <c r="H375" i="3"/>
  <c r="H376" i="3"/>
  <c r="H377" i="3"/>
  <c r="K377" i="3" s="1"/>
  <c r="H378" i="3"/>
  <c r="K378" i="3" s="1"/>
  <c r="H379" i="3"/>
  <c r="K379" i="3" s="1"/>
  <c r="H380" i="3"/>
  <c r="K380" i="3" s="1"/>
  <c r="H381" i="3"/>
  <c r="H382" i="3"/>
  <c r="H383" i="3"/>
  <c r="H384" i="3"/>
  <c r="H385" i="3"/>
  <c r="K385" i="3" s="1"/>
  <c r="H386" i="3"/>
  <c r="K386" i="3" s="1"/>
  <c r="H387" i="3"/>
  <c r="K387" i="3" s="1"/>
  <c r="H388" i="3"/>
  <c r="K388" i="3" s="1"/>
  <c r="H389" i="3"/>
  <c r="H390" i="3"/>
  <c r="H391" i="3"/>
  <c r="H392" i="3"/>
  <c r="H393" i="3"/>
  <c r="K393" i="3" s="1"/>
  <c r="H394" i="3"/>
  <c r="K394" i="3" s="1"/>
  <c r="H395" i="3"/>
  <c r="K395" i="3" s="1"/>
  <c r="H396" i="3"/>
  <c r="K396" i="3" s="1"/>
  <c r="H397" i="3"/>
  <c r="H398" i="3"/>
  <c r="H399" i="3"/>
  <c r="H400" i="3"/>
  <c r="H401" i="3"/>
  <c r="K401" i="3" s="1"/>
  <c r="H402" i="3"/>
  <c r="K402" i="3" s="1"/>
  <c r="H403" i="3"/>
  <c r="K403" i="3" s="1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<sst xmlns="http://schemas.openxmlformats.org/spreadsheetml/2006/main" count="17" uniqueCount="14">
  <si>
    <t>observation_date</t>
  </si>
  <si>
    <t>RSXFS</t>
  </si>
  <si>
    <t>TgtAmount</t>
  </si>
  <si>
    <t>Lag6</t>
  </si>
  <si>
    <t>Lag5</t>
  </si>
  <si>
    <t>Lag4</t>
  </si>
  <si>
    <t>Lag3</t>
  </si>
  <si>
    <t>Lag2</t>
  </si>
  <si>
    <t>Lag1</t>
  </si>
  <si>
    <t>Prediction</t>
  </si>
  <si>
    <t>Mean Absolute Prediction Error:</t>
  </si>
  <si>
    <t>Monthly US Retail Sales in Millions (Actual)</t>
  </si>
  <si>
    <t>Monthly US Retail Sales in Millions (Predicted)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</si>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</sst>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6">
    <xf numFmtId="0" fontId="0" fillId="0" borderId="0" xfId="0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1" fillId="2" borderId="3" xfId="0" applyFont="1" applyFill="1" applyBorder="1"/>
    <xf numFmtId="0" fontId="1" fillId="2" borderId="4" xfId="0" applyFont="1" applyFill="1" applyBorder="1"/>
    <xf numFmtId="0" fontId="0" fillId="3" borderId="3" xfId="0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0" fontId="3" fillId="0" borderId="5" xfId="0" applyFont="1" applyBorder="1"/>
    <xf numFmtId="0" fontId="0" fillId="4" borderId="0" xfId="0" applyFill="1"/>
    <xf numFmtId="10" fontId="3" fillId="4" borderId="5" xfId="1" applyNumberFormat="1" applyFont="1" applyFill="1" applyBorder="1"/>
    <xf numFmtId="0" fontId="1" fillId="0" borderId="0" xfId="0" applyFont="1" applyBorder="1"/>
    <xf numFmtId="0" fontId="0" fillId="0" borderId="0" xfId="0" applyFill="1"/>
    <xf numFmtId="44" fontId="0" fillId="6" borderId="0" xfId="2" applyFont="1" applyFill="1"/>
    <xf numFmtId="44" fontId="0" fillId="5" borderId="0" xfId="2" applyFont="1" applyFill="1"/>
    <xf numFmtId="0" fontId="1" fillId="2" borderId="5" xfId="0" applyFont="1" applyFill="1" applyBorder="1"/>
    <xf numFmtId="0" fontId="1" fillId="0" borderId="5" xfId="0" applyFont="1" applyBorder="1"/>
    <xf numFmtId="0" fontId="1" fillId="2" borderId="5" xfId="0" applyFont="1" applyFill="1" applyBorder="1" applyAlignment="1">
      <alignment wrapText="1"/>
    </xf>
    <xf numFmtId="0" fontId="0" fillId="0" borderId="0" xfId="0" applyNumberFormat="1"/>
    <xf numFmtId="0" fontId="0" fillId="0" borderId="0" xfId="0" applyNumberFormat="1" applyFill="1"/>
    <xf numFmtId="14" fontId="0" fillId="7" borderId="0" xfId="0" applyNumberFormat="1" applyFill="1"/>
    <xf numFmtId="0" fontId="0" fillId="0" borderId="6" xfId="0" applyFill="1" applyBorder="1"/>
    <xf numFmtId="0" fontId="0" fillId="0" borderId="7" xfId="0" applyFill="1" applyBorder="1"/>
    <xf numFmtId="0" fontId="0" fillId="0" borderId="7" xfId="0" applyNumberFormat="1" applyFill="1" applyBorder="1"/>
  </cellXfs>
  <cellStyles count="3">
    <cellStyle name="Currency" xfId="2" builtinId="4"/>
    <cellStyle name="Normal" xfId="0" builtinId="0"/>
    <cellStyle name="Percent" xfId="1" builtinId="5"/>
  </cellStyles>
  <dxfs count="16"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9" formatCode="m/d/yyyy"/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ill>
        <patternFill patternType="solid">
          <fgColor indexed="64"/>
          <bgColor theme="8" tint="0.39997558519241921"/>
        </patternFill>
      </fill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US Retail Sales in Millions 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0"/>
          <c:order val="10"/>
          <c:tx>
            <c:strRef>
              <c:f>FinalData!$K$1</c:f>
              <c:strCache>
                <c:ptCount val="1"/>
                <c:pt idx="0">
                  <c:v>Monthly US Retail Sales in Millions (Actual)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FinalData!$J$2:$J$403</c:f>
              <c:numCache>
                <c:formatCode>m/d/yyyy</c:formatCode>
                <c:ptCount val="40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  <c:pt idx="385">
                  <c:v>45323</c:v>
                </c:pt>
                <c:pt idx="386">
                  <c:v>45352</c:v>
                </c:pt>
                <c:pt idx="387">
                  <c:v>45383</c:v>
                </c:pt>
                <c:pt idx="388">
                  <c:v>45413</c:v>
                </c:pt>
                <c:pt idx="389">
                  <c:v>45444</c:v>
                </c:pt>
                <c:pt idx="390">
                  <c:v>45474</c:v>
                </c:pt>
                <c:pt idx="391">
                  <c:v>45505</c:v>
                </c:pt>
                <c:pt idx="392">
                  <c:v>45536</c:v>
                </c:pt>
                <c:pt idx="393">
                  <c:v>45566</c:v>
                </c:pt>
                <c:pt idx="394">
                  <c:v>45597</c:v>
                </c:pt>
                <c:pt idx="395">
                  <c:v>45627</c:v>
                </c:pt>
                <c:pt idx="396">
                  <c:v>45658</c:v>
                </c:pt>
                <c:pt idx="397">
                  <c:v>45689</c:v>
                </c:pt>
                <c:pt idx="398">
                  <c:v>45717</c:v>
                </c:pt>
                <c:pt idx="399">
                  <c:v>45748</c:v>
                </c:pt>
                <c:pt idx="400">
                  <c:v>45778</c:v>
                </c:pt>
                <c:pt idx="401">
                  <c:v>45809</c:v>
                </c:pt>
              </c:numCache>
            </c:numRef>
          </c:cat>
          <c:val>
            <c:numRef>
              <c:f>FinalData!$K$2:$K$403</c:f>
              <c:numCache>
                <c:formatCode>_("$"* #,##0.00_);_("$"* \(#,##0.00\);_("$"* "-"??_);_(@_)</c:formatCode>
                <c:ptCount val="402"/>
                <c:pt idx="0">
                  <c:v>146743</c:v>
                </c:pt>
                <c:pt idx="1">
                  <c:v>146070</c:v>
                </c:pt>
                <c:pt idx="2">
                  <c:v>147932</c:v>
                </c:pt>
                <c:pt idx="3">
                  <c:v>149346</c:v>
                </c:pt>
                <c:pt idx="4">
                  <c:v>149131</c:v>
                </c:pt>
                <c:pt idx="5">
                  <c:v>150578</c:v>
                </c:pt>
                <c:pt idx="6">
                  <c:v>152329</c:v>
                </c:pt>
                <c:pt idx="7">
                  <c:v>151742</c:v>
                </c:pt>
                <c:pt idx="8">
                  <c:v>150525</c:v>
                </c:pt>
                <c:pt idx="9">
                  <c:v>154720</c:v>
                </c:pt>
                <c:pt idx="10">
                  <c:v>155537</c:v>
                </c:pt>
                <c:pt idx="11">
                  <c:v>155353</c:v>
                </c:pt>
                <c:pt idx="12">
                  <c:v>158267</c:v>
                </c:pt>
                <c:pt idx="13">
                  <c:v>157425</c:v>
                </c:pt>
                <c:pt idx="14">
                  <c:v>158535</c:v>
                </c:pt>
                <c:pt idx="15">
                  <c:v>159773</c:v>
                </c:pt>
                <c:pt idx="16">
                  <c:v>162004</c:v>
                </c:pt>
                <c:pt idx="17">
                  <c:v>163258</c:v>
                </c:pt>
                <c:pt idx="18">
                  <c:v>162369</c:v>
                </c:pt>
                <c:pt idx="19">
                  <c:v>165075</c:v>
                </c:pt>
                <c:pt idx="20">
                  <c:v>168330</c:v>
                </c:pt>
                <c:pt idx="21">
                  <c:v>168262</c:v>
                </c:pt>
                <c:pt idx="22">
                  <c:v>167412</c:v>
                </c:pt>
                <c:pt idx="23">
                  <c:v>169337</c:v>
                </c:pt>
                <c:pt idx="24">
                  <c:v>169514</c:v>
                </c:pt>
                <c:pt idx="25">
                  <c:v>172332</c:v>
                </c:pt>
                <c:pt idx="26">
                  <c:v>174018</c:v>
                </c:pt>
                <c:pt idx="27">
                  <c:v>175309</c:v>
                </c:pt>
                <c:pt idx="28">
                  <c:v>175761</c:v>
                </c:pt>
                <c:pt idx="29">
                  <c:v>176168</c:v>
                </c:pt>
                <c:pt idx="30">
                  <c:v>177136</c:v>
                </c:pt>
                <c:pt idx="31">
                  <c:v>174560</c:v>
                </c:pt>
                <c:pt idx="32">
                  <c:v>176376</c:v>
                </c:pt>
                <c:pt idx="33">
                  <c:v>176353</c:v>
                </c:pt>
                <c:pt idx="34">
                  <c:v>179020</c:v>
                </c:pt>
                <c:pt idx="35">
                  <c:v>181382</c:v>
                </c:pt>
                <c:pt idx="36">
                  <c:v>180019</c:v>
                </c:pt>
                <c:pt idx="37">
                  <c:v>181787</c:v>
                </c:pt>
                <c:pt idx="38">
                  <c:v>182074</c:v>
                </c:pt>
                <c:pt idx="39">
                  <c:v>181411</c:v>
                </c:pt>
                <c:pt idx="40">
                  <c:v>184327</c:v>
                </c:pt>
                <c:pt idx="41">
                  <c:v>184841</c:v>
                </c:pt>
                <c:pt idx="42">
                  <c:v>184636</c:v>
                </c:pt>
                <c:pt idx="43">
                  <c:v>187576</c:v>
                </c:pt>
                <c:pt idx="44">
                  <c:v>188237</c:v>
                </c:pt>
                <c:pt idx="45">
                  <c:v>189778</c:v>
                </c:pt>
                <c:pt idx="46">
                  <c:v>191544</c:v>
                </c:pt>
                <c:pt idx="47">
                  <c:v>189960</c:v>
                </c:pt>
                <c:pt idx="48">
                  <c:v>191113</c:v>
                </c:pt>
                <c:pt idx="49">
                  <c:v>191139</c:v>
                </c:pt>
                <c:pt idx="50">
                  <c:v>193303</c:v>
                </c:pt>
                <c:pt idx="51">
                  <c:v>195420</c:v>
                </c:pt>
                <c:pt idx="52">
                  <c:v>194860</c:v>
                </c:pt>
                <c:pt idx="53">
                  <c:v>195318</c:v>
                </c:pt>
                <c:pt idx="54">
                  <c:v>197447</c:v>
                </c:pt>
                <c:pt idx="55">
                  <c:v>198891</c:v>
                </c:pt>
                <c:pt idx="56">
                  <c:v>200352</c:v>
                </c:pt>
                <c:pt idx="57">
                  <c:v>197212</c:v>
                </c:pt>
                <c:pt idx="58">
                  <c:v>196937</c:v>
                </c:pt>
                <c:pt idx="59">
                  <c:v>199311</c:v>
                </c:pt>
                <c:pt idx="60">
                  <c:v>201751</c:v>
                </c:pt>
                <c:pt idx="61">
                  <c:v>201892</c:v>
                </c:pt>
                <c:pt idx="62">
                  <c:v>202992</c:v>
                </c:pt>
                <c:pt idx="63">
                  <c:v>203055</c:v>
                </c:pt>
                <c:pt idx="64">
                  <c:v>202778</c:v>
                </c:pt>
                <c:pt idx="65">
                  <c:v>203837</c:v>
                </c:pt>
                <c:pt idx="66">
                  <c:v>204505</c:v>
                </c:pt>
                <c:pt idx="67">
                  <c:v>204207</c:v>
                </c:pt>
                <c:pt idx="68">
                  <c:v>205311</c:v>
                </c:pt>
                <c:pt idx="69">
                  <c:v>208683</c:v>
                </c:pt>
                <c:pt idx="70">
                  <c:v>209165</c:v>
                </c:pt>
                <c:pt idx="71">
                  <c:v>211222</c:v>
                </c:pt>
                <c:pt idx="72">
                  <c:v>209658</c:v>
                </c:pt>
                <c:pt idx="73">
                  <c:v>207737</c:v>
                </c:pt>
                <c:pt idx="74">
                  <c:v>210112</c:v>
                </c:pt>
                <c:pt idx="75">
                  <c:v>213794</c:v>
                </c:pt>
                <c:pt idx="76">
                  <c:v>215194</c:v>
                </c:pt>
                <c:pt idx="77">
                  <c:v>217396</c:v>
                </c:pt>
                <c:pt idx="78">
                  <c:v>217930</c:v>
                </c:pt>
                <c:pt idx="79">
                  <c:v>220769</c:v>
                </c:pt>
                <c:pt idx="80">
                  <c:v>222199</c:v>
                </c:pt>
                <c:pt idx="81">
                  <c:v>223837</c:v>
                </c:pt>
                <c:pt idx="82">
                  <c:v>225577</c:v>
                </c:pt>
                <c:pt idx="83">
                  <c:v>226474</c:v>
                </c:pt>
                <c:pt idx="84">
                  <c:v>228424</c:v>
                </c:pt>
                <c:pt idx="85">
                  <c:v>230902</c:v>
                </c:pt>
                <c:pt idx="86">
                  <c:v>231912</c:v>
                </c:pt>
                <c:pt idx="87">
                  <c:v>231254</c:v>
                </c:pt>
                <c:pt idx="88">
                  <c:v>234425</c:v>
                </c:pt>
                <c:pt idx="89">
                  <c:v>239589</c:v>
                </c:pt>
                <c:pt idx="90">
                  <c:v>237541</c:v>
                </c:pt>
                <c:pt idx="91">
                  <c:v>241541</c:v>
                </c:pt>
                <c:pt idx="92">
                  <c:v>244533</c:v>
                </c:pt>
                <c:pt idx="93">
                  <c:v>239552</c:v>
                </c:pt>
                <c:pt idx="94">
                  <c:v>241546</c:v>
                </c:pt>
                <c:pt idx="95">
                  <c:v>243226</c:v>
                </c:pt>
                <c:pt idx="96">
                  <c:v>240979</c:v>
                </c:pt>
                <c:pt idx="97">
                  <c:v>242318</c:v>
                </c:pt>
                <c:pt idx="98">
                  <c:v>245520</c:v>
                </c:pt>
                <c:pt idx="99">
                  <c:v>245399</c:v>
                </c:pt>
                <c:pt idx="100">
                  <c:v>243846</c:v>
                </c:pt>
                <c:pt idx="101">
                  <c:v>243844</c:v>
                </c:pt>
                <c:pt idx="102">
                  <c:v>247339</c:v>
                </c:pt>
                <c:pt idx="103">
                  <c:v>247289</c:v>
                </c:pt>
                <c:pt idx="104">
                  <c:v>244514</c:v>
                </c:pt>
                <c:pt idx="105">
                  <c:v>249113</c:v>
                </c:pt>
                <c:pt idx="106">
                  <c:v>250250</c:v>
                </c:pt>
                <c:pt idx="107">
                  <c:v>248836</c:v>
                </c:pt>
                <c:pt idx="108">
                  <c:v>247336</c:v>
                </c:pt>
                <c:pt idx="109">
                  <c:v>249590</c:v>
                </c:pt>
                <c:pt idx="110">
                  <c:v>243130</c:v>
                </c:pt>
                <c:pt idx="111">
                  <c:v>262862</c:v>
                </c:pt>
                <c:pt idx="112">
                  <c:v>254084</c:v>
                </c:pt>
                <c:pt idx="113">
                  <c:v>249879</c:v>
                </c:pt>
                <c:pt idx="114">
                  <c:v>250603</c:v>
                </c:pt>
                <c:pt idx="115">
                  <c:v>252279</c:v>
                </c:pt>
                <c:pt idx="116">
                  <c:v>251542</c:v>
                </c:pt>
                <c:pt idx="117">
                  <c:v>254543</c:v>
                </c:pt>
                <c:pt idx="118">
                  <c:v>252390</c:v>
                </c:pt>
                <c:pt idx="119">
                  <c:v>253652</c:v>
                </c:pt>
                <c:pt idx="120">
                  <c:v>257339</c:v>
                </c:pt>
                <c:pt idx="121">
                  <c:v>259050</c:v>
                </c:pt>
                <c:pt idx="122">
                  <c:v>254081</c:v>
                </c:pt>
                <c:pt idx="123">
                  <c:v>256131</c:v>
                </c:pt>
                <c:pt idx="124">
                  <c:v>256350</c:v>
                </c:pt>
                <c:pt idx="125">
                  <c:v>259206</c:v>
                </c:pt>
                <c:pt idx="126">
                  <c:v>261394</c:v>
                </c:pt>
                <c:pt idx="127">
                  <c:v>257531</c:v>
                </c:pt>
                <c:pt idx="128">
                  <c:v>260566</c:v>
                </c:pt>
                <c:pt idx="129">
                  <c:v>261375</c:v>
                </c:pt>
                <c:pt idx="130">
                  <c:v>261392</c:v>
                </c:pt>
                <c:pt idx="131">
                  <c:v>265331</c:v>
                </c:pt>
                <c:pt idx="132">
                  <c:v>267683</c:v>
                </c:pt>
                <c:pt idx="133">
                  <c:v>270612</c:v>
                </c:pt>
                <c:pt idx="134">
                  <c:v>270212</c:v>
                </c:pt>
                <c:pt idx="135">
                  <c:v>269060</c:v>
                </c:pt>
                <c:pt idx="136">
                  <c:v>270161</c:v>
                </c:pt>
                <c:pt idx="137">
                  <c:v>271550</c:v>
                </c:pt>
                <c:pt idx="138">
                  <c:v>272465</c:v>
                </c:pt>
                <c:pt idx="139">
                  <c:v>274360</c:v>
                </c:pt>
                <c:pt idx="140">
                  <c:v>279692</c:v>
                </c:pt>
                <c:pt idx="141">
                  <c:v>277625</c:v>
                </c:pt>
                <c:pt idx="142">
                  <c:v>281281</c:v>
                </c:pt>
                <c:pt idx="143">
                  <c:v>279141</c:v>
                </c:pt>
                <c:pt idx="144">
                  <c:v>281350</c:v>
                </c:pt>
                <c:pt idx="145">
                  <c:v>281006</c:v>
                </c:pt>
                <c:pt idx="146">
                  <c:v>286866</c:v>
                </c:pt>
                <c:pt idx="147">
                  <c:v>287700</c:v>
                </c:pt>
                <c:pt idx="148">
                  <c:v>289679</c:v>
                </c:pt>
                <c:pt idx="149">
                  <c:v>293401</c:v>
                </c:pt>
                <c:pt idx="150">
                  <c:v>290111</c:v>
                </c:pt>
                <c:pt idx="151">
                  <c:v>293710</c:v>
                </c:pt>
                <c:pt idx="152">
                  <c:v>294743</c:v>
                </c:pt>
                <c:pt idx="153">
                  <c:v>297153</c:v>
                </c:pt>
                <c:pt idx="154">
                  <c:v>295314</c:v>
                </c:pt>
                <c:pt idx="155">
                  <c:v>305083</c:v>
                </c:pt>
                <c:pt idx="156">
                  <c:v>307320</c:v>
                </c:pt>
                <c:pt idx="157">
                  <c:v>303216</c:v>
                </c:pt>
                <c:pt idx="158">
                  <c:v>304187</c:v>
                </c:pt>
                <c:pt idx="159">
                  <c:v>303989</c:v>
                </c:pt>
                <c:pt idx="160">
                  <c:v>306566</c:v>
                </c:pt>
                <c:pt idx="161">
                  <c:v>306723</c:v>
                </c:pt>
                <c:pt idx="162">
                  <c:v>315566</c:v>
                </c:pt>
                <c:pt idx="163">
                  <c:v>313440</c:v>
                </c:pt>
                <c:pt idx="164">
                  <c:v>314471</c:v>
                </c:pt>
                <c:pt idx="165">
                  <c:v>316094</c:v>
                </c:pt>
                <c:pt idx="166">
                  <c:v>314919</c:v>
                </c:pt>
                <c:pt idx="167">
                  <c:v>316978</c:v>
                </c:pt>
                <c:pt idx="168">
                  <c:v>317984</c:v>
                </c:pt>
                <c:pt idx="169">
                  <c:v>318802</c:v>
                </c:pt>
                <c:pt idx="170">
                  <c:v>316400</c:v>
                </c:pt>
                <c:pt idx="171">
                  <c:v>316145</c:v>
                </c:pt>
                <c:pt idx="172">
                  <c:v>317123</c:v>
                </c:pt>
                <c:pt idx="173">
                  <c:v>320312</c:v>
                </c:pt>
                <c:pt idx="174">
                  <c:v>320305</c:v>
                </c:pt>
                <c:pt idx="175">
                  <c:v>321434</c:v>
                </c:pt>
                <c:pt idx="176">
                  <c:v>323708</c:v>
                </c:pt>
                <c:pt idx="177">
                  <c:v>322878</c:v>
                </c:pt>
                <c:pt idx="178">
                  <c:v>327266</c:v>
                </c:pt>
                <c:pt idx="179">
                  <c:v>324076</c:v>
                </c:pt>
                <c:pt idx="180">
                  <c:v>325455</c:v>
                </c:pt>
                <c:pt idx="181">
                  <c:v>327444</c:v>
                </c:pt>
                <c:pt idx="182">
                  <c:v>328668</c:v>
                </c:pt>
                <c:pt idx="183">
                  <c:v>330544</c:v>
                </c:pt>
                <c:pt idx="184">
                  <c:v>334021</c:v>
                </c:pt>
                <c:pt idx="185">
                  <c:v>329259</c:v>
                </c:pt>
                <c:pt idx="186">
                  <c:v>330478</c:v>
                </c:pt>
                <c:pt idx="187">
                  <c:v>327869</c:v>
                </c:pt>
                <c:pt idx="188">
                  <c:v>328493</c:v>
                </c:pt>
                <c:pt idx="189">
                  <c:v>328037</c:v>
                </c:pt>
                <c:pt idx="190">
                  <c:v>331088</c:v>
                </c:pt>
                <c:pt idx="191">
                  <c:v>331764</c:v>
                </c:pt>
                <c:pt idx="192">
                  <c:v>330301</c:v>
                </c:pt>
                <c:pt idx="193">
                  <c:v>327296</c:v>
                </c:pt>
                <c:pt idx="194">
                  <c:v>321568</c:v>
                </c:pt>
                <c:pt idx="195">
                  <c:v>308968</c:v>
                </c:pt>
                <c:pt idx="196">
                  <c:v>295396</c:v>
                </c:pt>
                <c:pt idx="197">
                  <c:v>287571</c:v>
                </c:pt>
                <c:pt idx="198">
                  <c:v>292449</c:v>
                </c:pt>
                <c:pt idx="199">
                  <c:v>291429</c:v>
                </c:pt>
                <c:pt idx="200">
                  <c:v>286022</c:v>
                </c:pt>
                <c:pt idx="201">
                  <c:v>287530</c:v>
                </c:pt>
                <c:pt idx="202">
                  <c:v>290215</c:v>
                </c:pt>
                <c:pt idx="203">
                  <c:v>295458</c:v>
                </c:pt>
                <c:pt idx="204">
                  <c:v>296928</c:v>
                </c:pt>
                <c:pt idx="205">
                  <c:v>302871</c:v>
                </c:pt>
                <c:pt idx="206">
                  <c:v>294449</c:v>
                </c:pt>
                <c:pt idx="207">
                  <c:v>298067</c:v>
                </c:pt>
                <c:pt idx="208">
                  <c:v>300583</c:v>
                </c:pt>
                <c:pt idx="209">
                  <c:v>301959</c:v>
                </c:pt>
                <c:pt idx="210">
                  <c:v>302325</c:v>
                </c:pt>
                <c:pt idx="211">
                  <c:v>302310</c:v>
                </c:pt>
                <c:pt idx="212">
                  <c:v>309525</c:v>
                </c:pt>
                <c:pt idx="213">
                  <c:v>312143</c:v>
                </c:pt>
                <c:pt idx="214">
                  <c:v>309158</c:v>
                </c:pt>
                <c:pt idx="215">
                  <c:v>308588</c:v>
                </c:pt>
                <c:pt idx="216">
                  <c:v>309543</c:v>
                </c:pt>
                <c:pt idx="217">
                  <c:v>310761</c:v>
                </c:pt>
                <c:pt idx="218">
                  <c:v>313785</c:v>
                </c:pt>
                <c:pt idx="219">
                  <c:v>317699</c:v>
                </c:pt>
                <c:pt idx="220">
                  <c:v>320695</c:v>
                </c:pt>
                <c:pt idx="221">
                  <c:v>323421</c:v>
                </c:pt>
                <c:pt idx="222">
                  <c:v>325674</c:v>
                </c:pt>
                <c:pt idx="223">
                  <c:v>328049</c:v>
                </c:pt>
                <c:pt idx="224">
                  <c:v>331161</c:v>
                </c:pt>
                <c:pt idx="225">
                  <c:v>333189</c:v>
                </c:pt>
                <c:pt idx="226">
                  <c:v>332409</c:v>
                </c:pt>
                <c:pt idx="227">
                  <c:v>335108</c:v>
                </c:pt>
                <c:pt idx="228">
                  <c:v>334922</c:v>
                </c:pt>
                <c:pt idx="229">
                  <c:v>335163</c:v>
                </c:pt>
                <c:pt idx="230">
                  <c:v>339011</c:v>
                </c:pt>
                <c:pt idx="231">
                  <c:v>341058</c:v>
                </c:pt>
                <c:pt idx="232">
                  <c:v>342214</c:v>
                </c:pt>
                <c:pt idx="233">
                  <c:v>343093</c:v>
                </c:pt>
                <c:pt idx="234">
                  <c:v>345656</c:v>
                </c:pt>
                <c:pt idx="235">
                  <c:v>350345</c:v>
                </c:pt>
                <c:pt idx="236">
                  <c:v>351748</c:v>
                </c:pt>
                <c:pt idx="237">
                  <c:v>349722</c:v>
                </c:pt>
                <c:pt idx="238">
                  <c:v>349064</c:v>
                </c:pt>
                <c:pt idx="239">
                  <c:v>345339</c:v>
                </c:pt>
                <c:pt idx="240">
                  <c:v>346936</c:v>
                </c:pt>
                <c:pt idx="241">
                  <c:v>351782</c:v>
                </c:pt>
                <c:pt idx="242">
                  <c:v>354575</c:v>
                </c:pt>
                <c:pt idx="243">
                  <c:v>354747</c:v>
                </c:pt>
                <c:pt idx="244">
                  <c:v>356158</c:v>
                </c:pt>
                <c:pt idx="245">
                  <c:v>357519</c:v>
                </c:pt>
                <c:pt idx="246">
                  <c:v>360257</c:v>
                </c:pt>
                <c:pt idx="247">
                  <c:v>365227</c:v>
                </c:pt>
                <c:pt idx="248">
                  <c:v>362148</c:v>
                </c:pt>
                <c:pt idx="249">
                  <c:v>360499</c:v>
                </c:pt>
                <c:pt idx="250">
                  <c:v>362842</c:v>
                </c:pt>
                <c:pt idx="251">
                  <c:v>364181</c:v>
                </c:pt>
                <c:pt idx="252">
                  <c:v>366243</c:v>
                </c:pt>
                <c:pt idx="253">
                  <c:v>365543</c:v>
                </c:pt>
                <c:pt idx="254">
                  <c:v>365668</c:v>
                </c:pt>
                <c:pt idx="255">
                  <c:v>366444</c:v>
                </c:pt>
                <c:pt idx="256">
                  <c:v>366868</c:v>
                </c:pt>
                <c:pt idx="257">
                  <c:v>369499</c:v>
                </c:pt>
                <c:pt idx="258">
                  <c:v>366684</c:v>
                </c:pt>
                <c:pt idx="259">
                  <c:v>371335</c:v>
                </c:pt>
                <c:pt idx="260">
                  <c:v>375285</c:v>
                </c:pt>
                <c:pt idx="261">
                  <c:v>379432</c:v>
                </c:pt>
                <c:pt idx="262">
                  <c:v>379787</c:v>
                </c:pt>
                <c:pt idx="263">
                  <c:v>380618</c:v>
                </c:pt>
                <c:pt idx="264">
                  <c:v>381045</c:v>
                </c:pt>
                <c:pt idx="265">
                  <c:v>384017</c:v>
                </c:pt>
                <c:pt idx="266">
                  <c:v>382277</c:v>
                </c:pt>
                <c:pt idx="267">
                  <c:v>383323</c:v>
                </c:pt>
                <c:pt idx="268">
                  <c:v>384459</c:v>
                </c:pt>
                <c:pt idx="269">
                  <c:v>380682</c:v>
                </c:pt>
                <c:pt idx="270">
                  <c:v>378518</c:v>
                </c:pt>
                <c:pt idx="271">
                  <c:v>377594</c:v>
                </c:pt>
                <c:pt idx="272">
                  <c:v>383681</c:v>
                </c:pt>
                <c:pt idx="273">
                  <c:v>383893</c:v>
                </c:pt>
                <c:pt idx="274">
                  <c:v>387155</c:v>
                </c:pt>
                <c:pt idx="275">
                  <c:v>387199</c:v>
                </c:pt>
                <c:pt idx="276">
                  <c:v>390953</c:v>
                </c:pt>
                <c:pt idx="277">
                  <c:v>390570</c:v>
                </c:pt>
                <c:pt idx="278">
                  <c:v>388551</c:v>
                </c:pt>
                <c:pt idx="279">
                  <c:v>387066</c:v>
                </c:pt>
                <c:pt idx="280">
                  <c:v>388530</c:v>
                </c:pt>
                <c:pt idx="281">
                  <c:v>389551</c:v>
                </c:pt>
                <c:pt idx="282">
                  <c:v>387483</c:v>
                </c:pt>
                <c:pt idx="283">
                  <c:v>390029</c:v>
                </c:pt>
                <c:pt idx="284">
                  <c:v>388998</c:v>
                </c:pt>
                <c:pt idx="285">
                  <c:v>391112</c:v>
                </c:pt>
                <c:pt idx="286">
                  <c:v>392299</c:v>
                </c:pt>
                <c:pt idx="287">
                  <c:v>397113</c:v>
                </c:pt>
                <c:pt idx="288">
                  <c:v>396545</c:v>
                </c:pt>
                <c:pt idx="289">
                  <c:v>396293</c:v>
                </c:pt>
                <c:pt idx="290">
                  <c:v>398797</c:v>
                </c:pt>
                <c:pt idx="291">
                  <c:v>399637</c:v>
                </c:pt>
                <c:pt idx="292">
                  <c:v>398680</c:v>
                </c:pt>
                <c:pt idx="293">
                  <c:v>405114</c:v>
                </c:pt>
                <c:pt idx="294">
                  <c:v>408269</c:v>
                </c:pt>
                <c:pt idx="295">
                  <c:v>408155</c:v>
                </c:pt>
                <c:pt idx="296">
                  <c:v>407630</c:v>
                </c:pt>
                <c:pt idx="297">
                  <c:v>409134</c:v>
                </c:pt>
                <c:pt idx="298">
                  <c:v>406609</c:v>
                </c:pt>
                <c:pt idx="299">
                  <c:v>409067</c:v>
                </c:pt>
                <c:pt idx="300">
                  <c:v>409113</c:v>
                </c:pt>
                <c:pt idx="301">
                  <c:v>409606</c:v>
                </c:pt>
                <c:pt idx="302">
                  <c:v>419021</c:v>
                </c:pt>
                <c:pt idx="303">
                  <c:v>418999</c:v>
                </c:pt>
                <c:pt idx="304">
                  <c:v>423224</c:v>
                </c:pt>
                <c:pt idx="305">
                  <c:v>425545</c:v>
                </c:pt>
                <c:pt idx="306">
                  <c:v>423202</c:v>
                </c:pt>
                <c:pt idx="307">
                  <c:v>425507</c:v>
                </c:pt>
                <c:pt idx="308">
                  <c:v>425087</c:v>
                </c:pt>
                <c:pt idx="309">
                  <c:v>425899</c:v>
                </c:pt>
                <c:pt idx="310">
                  <c:v>432340</c:v>
                </c:pt>
                <c:pt idx="311">
                  <c:v>430008</c:v>
                </c:pt>
                <c:pt idx="312">
                  <c:v>432070</c:v>
                </c:pt>
                <c:pt idx="313">
                  <c:v>432031</c:v>
                </c:pt>
                <c:pt idx="314">
                  <c:v>431438</c:v>
                </c:pt>
                <c:pt idx="315">
                  <c:v>435894</c:v>
                </c:pt>
                <c:pt idx="316">
                  <c:v>438612</c:v>
                </c:pt>
                <c:pt idx="317">
                  <c:v>428932</c:v>
                </c:pt>
                <c:pt idx="318">
                  <c:v>430246</c:v>
                </c:pt>
                <c:pt idx="319">
                  <c:v>431194</c:v>
                </c:pt>
                <c:pt idx="320">
                  <c:v>438196</c:v>
                </c:pt>
                <c:pt idx="321">
                  <c:v>437735</c:v>
                </c:pt>
                <c:pt idx="322">
                  <c:v>442514</c:v>
                </c:pt>
                <c:pt idx="323">
                  <c:v>442116</c:v>
                </c:pt>
                <c:pt idx="324">
                  <c:v>445304</c:v>
                </c:pt>
                <c:pt idx="325">
                  <c:v>448519</c:v>
                </c:pt>
                <c:pt idx="326">
                  <c:v>444555</c:v>
                </c:pt>
                <c:pt idx="327">
                  <c:v>445627</c:v>
                </c:pt>
                <c:pt idx="328">
                  <c:v>449040</c:v>
                </c:pt>
                <c:pt idx="329">
                  <c:v>449643</c:v>
                </c:pt>
                <c:pt idx="330">
                  <c:v>447774</c:v>
                </c:pt>
                <c:pt idx="331">
                  <c:v>447972</c:v>
                </c:pt>
                <c:pt idx="332">
                  <c:v>420954</c:v>
                </c:pt>
                <c:pt idx="333">
                  <c:v>370296</c:v>
                </c:pt>
                <c:pt idx="334">
                  <c:v>437957</c:v>
                </c:pt>
                <c:pt idx="335">
                  <c:v>465800</c:v>
                </c:pt>
                <c:pt idx="336">
                  <c:v>471873</c:v>
                </c:pt>
                <c:pt idx="337">
                  <c:v>473696</c:v>
                </c:pt>
                <c:pt idx="338">
                  <c:v>482702</c:v>
                </c:pt>
                <c:pt idx="339">
                  <c:v>480763</c:v>
                </c:pt>
                <c:pt idx="340">
                  <c:v>478079</c:v>
                </c:pt>
                <c:pt idx="341">
                  <c:v>485949</c:v>
                </c:pt>
                <c:pt idx="342">
                  <c:v>501604</c:v>
                </c:pt>
                <c:pt idx="343">
                  <c:v>488805</c:v>
                </c:pt>
                <c:pt idx="344">
                  <c:v>539607</c:v>
                </c:pt>
                <c:pt idx="345">
                  <c:v>542199</c:v>
                </c:pt>
                <c:pt idx="346">
                  <c:v>536589</c:v>
                </c:pt>
                <c:pt idx="347">
                  <c:v>540152</c:v>
                </c:pt>
                <c:pt idx="348">
                  <c:v>528600</c:v>
                </c:pt>
                <c:pt idx="349">
                  <c:v>532477</c:v>
                </c:pt>
                <c:pt idx="350">
                  <c:v>536651</c:v>
                </c:pt>
                <c:pt idx="351">
                  <c:v>545361</c:v>
                </c:pt>
                <c:pt idx="352">
                  <c:v>551082</c:v>
                </c:pt>
                <c:pt idx="353">
                  <c:v>547277</c:v>
                </c:pt>
                <c:pt idx="354">
                  <c:v>560257</c:v>
                </c:pt>
                <c:pt idx="355">
                  <c:v>563777</c:v>
                </c:pt>
                <c:pt idx="356">
                  <c:v>574485</c:v>
                </c:pt>
                <c:pt idx="357">
                  <c:v>580943</c:v>
                </c:pt>
                <c:pt idx="358">
                  <c:v>579844</c:v>
                </c:pt>
                <c:pt idx="359">
                  <c:v>585556</c:v>
                </c:pt>
                <c:pt idx="360">
                  <c:v>579267</c:v>
                </c:pt>
                <c:pt idx="361">
                  <c:v>581196</c:v>
                </c:pt>
                <c:pt idx="362">
                  <c:v>579446</c:v>
                </c:pt>
                <c:pt idx="363">
                  <c:v>585006</c:v>
                </c:pt>
                <c:pt idx="364">
                  <c:v>576356</c:v>
                </c:pt>
                <c:pt idx="365">
                  <c:v>569119</c:v>
                </c:pt>
                <c:pt idx="366">
                  <c:v>591964</c:v>
                </c:pt>
                <c:pt idx="367">
                  <c:v>586165</c:v>
                </c:pt>
                <c:pt idx="368">
                  <c:v>578812</c:v>
                </c:pt>
                <c:pt idx="369">
                  <c:v>583874</c:v>
                </c:pt>
                <c:pt idx="370">
                  <c:v>586286</c:v>
                </c:pt>
                <c:pt idx="371">
                  <c:v>588670</c:v>
                </c:pt>
                <c:pt idx="372">
                  <c:v>589257</c:v>
                </c:pt>
                <c:pt idx="373">
                  <c:v>595191</c:v>
                </c:pt>
                <c:pt idx="374">
                  <c:v>598956</c:v>
                </c:pt>
                <c:pt idx="375">
                  <c:v>595517</c:v>
                </c:pt>
                <c:pt idx="376">
                  <c:v>593567</c:v>
                </c:pt>
                <c:pt idx="377">
                  <c:v>594256</c:v>
                </c:pt>
                <c:pt idx="378">
                  <c:v>588944</c:v>
                </c:pt>
                <c:pt idx="379">
                  <c:v>593206</c:v>
                </c:pt>
                <c:pt idx="380">
                  <c:v>595969</c:v>
                </c:pt>
                <c:pt idx="381">
                  <c:v>595676</c:v>
                </c:pt>
                <c:pt idx="382">
                  <c:v>600372</c:v>
                </c:pt>
                <c:pt idx="383">
                  <c:v>599979</c:v>
                </c:pt>
                <c:pt idx="384">
                  <c:v>605814</c:v>
                </c:pt>
                <c:pt idx="385">
                  <c:v>603601</c:v>
                </c:pt>
                <c:pt idx="386">
                  <c:v>608774</c:v>
                </c:pt>
                <c:pt idx="387">
                  <c:v>612772</c:v>
                </c:pt>
                <c:pt idx="388">
                  <c:v>616344</c:v>
                </c:pt>
                <c:pt idx="389">
                  <c:v>621803</c:v>
                </c:pt>
                <c:pt idx="390">
                  <c:v>615973</c:v>
                </c:pt>
                <c:pt idx="391">
                  <c:v>616714</c:v>
                </c:pt>
                <c:pt idx="392">
                  <c:v>625121</c:v>
                </c:pt>
                <c:pt idx="393">
                  <c:v>623521</c:v>
                </c:pt>
                <c:pt idx="394">
                  <c:v>618037</c:v>
                </c:pt>
                <c:pt idx="395">
                  <c:v>624146</c:v>
                </c:pt>
                <c:pt idx="396">
                  <c:v>628747</c:v>
                </c:pt>
                <c:pt idx="397">
                  <c:v>632149</c:v>
                </c:pt>
                <c:pt idx="398">
                  <c:v>632395</c:v>
                </c:pt>
                <c:pt idx="399">
                  <c:v>631346</c:v>
                </c:pt>
                <c:pt idx="400">
                  <c:v>634711</c:v>
                </c:pt>
                <c:pt idx="401">
                  <c:v>634738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42-4FC2-A1E6-C379A5B1ABBB}"/>
            </c:ext>
          </c:extLst>
        </c:ser>
        <c:ser>
          <c:idx val="11"/>
          <c:order val="11"/>
          <c:tx>
            <c:strRef>
              <c:f>FinalData!$L$1</c:f>
              <c:strCache>
                <c:ptCount val="1"/>
                <c:pt idx="0">
                  <c:v>Monthly US Retail Sales in Millions (Predicted)</c:v>
                </c:pt>
              </c:strCache>
            </c:strRef>
          </c:tx>
          <c:spPr>
            <a:ln w="317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FinalData!$J$2:$J$403</c:f>
              <c:numCache>
                <c:formatCode>m/d/yyyy</c:formatCode>
                <c:ptCount val="40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  <c:pt idx="373">
                  <c:v>44958</c:v>
                </c:pt>
                <c:pt idx="374">
                  <c:v>44986</c:v>
                </c:pt>
                <c:pt idx="375">
                  <c:v>45017</c:v>
                </c:pt>
                <c:pt idx="376">
                  <c:v>45047</c:v>
                </c:pt>
                <c:pt idx="377">
                  <c:v>45078</c:v>
                </c:pt>
                <c:pt idx="378">
                  <c:v>45108</c:v>
                </c:pt>
                <c:pt idx="379">
                  <c:v>45139</c:v>
                </c:pt>
                <c:pt idx="380">
                  <c:v>45170</c:v>
                </c:pt>
                <c:pt idx="381">
                  <c:v>45200</c:v>
                </c:pt>
                <c:pt idx="382">
                  <c:v>45231</c:v>
                </c:pt>
                <c:pt idx="383">
                  <c:v>45261</c:v>
                </c:pt>
                <c:pt idx="384">
                  <c:v>45292</c:v>
                </c:pt>
                <c:pt idx="385">
                  <c:v>45323</c:v>
                </c:pt>
                <c:pt idx="386">
                  <c:v>45352</c:v>
                </c:pt>
                <c:pt idx="387">
                  <c:v>45383</c:v>
                </c:pt>
                <c:pt idx="388">
                  <c:v>45413</c:v>
                </c:pt>
                <c:pt idx="389">
                  <c:v>45444</c:v>
                </c:pt>
                <c:pt idx="390">
                  <c:v>45474</c:v>
                </c:pt>
                <c:pt idx="391">
                  <c:v>45505</c:v>
                </c:pt>
                <c:pt idx="392">
                  <c:v>45536</c:v>
                </c:pt>
                <c:pt idx="393">
                  <c:v>45566</c:v>
                </c:pt>
                <c:pt idx="394">
                  <c:v>45597</c:v>
                </c:pt>
                <c:pt idx="395">
                  <c:v>45627</c:v>
                </c:pt>
                <c:pt idx="396">
                  <c:v>45658</c:v>
                </c:pt>
                <c:pt idx="397">
                  <c:v>45689</c:v>
                </c:pt>
                <c:pt idx="398">
                  <c:v>45717</c:v>
                </c:pt>
                <c:pt idx="399">
                  <c:v>45748</c:v>
                </c:pt>
                <c:pt idx="400">
                  <c:v>45778</c:v>
                </c:pt>
                <c:pt idx="401">
                  <c:v>45809</c:v>
                </c:pt>
              </c:numCache>
            </c:numRef>
          </c:cat>
          <c:val>
            <c:numRef>
              <c:f>FinalData!$L$2:$L$403</c:f>
              <c:numCache>
                <c:formatCode>_("$"* #,##0.00_);_("$"* \(#,##0.00\);_("$"* "-"??_);_(@_)</c:formatCode>
                <c:ptCount val="402"/>
                <c:pt idx="0">
                  <c:v>148065.69614559802</c:v>
                </c:pt>
                <c:pt idx="1">
                  <c:v>148564.41827990607</c:v>
                </c:pt>
                <c:pt idx="2">
                  <c:v>148892.70300530957</c:v>
                </c:pt>
                <c:pt idx="3">
                  <c:v>149569.9046513355</c:v>
                </c:pt>
                <c:pt idx="4">
                  <c:v>150230.04374574113</c:v>
                </c:pt>
                <c:pt idx="5">
                  <c:v>150752.5065490579</c:v>
                </c:pt>
                <c:pt idx="6">
                  <c:v>151467.2666210795</c:v>
                </c:pt>
                <c:pt idx="7">
                  <c:v>152297.41315797664</c:v>
                </c:pt>
                <c:pt idx="8">
                  <c:v>152891.71648135979</c:v>
                </c:pt>
                <c:pt idx="9">
                  <c:v>153109.30337146437</c:v>
                </c:pt>
                <c:pt idx="10">
                  <c:v>154206.91291306031</c:v>
                </c:pt>
                <c:pt idx="11">
                  <c:v>155050.11036647245</c:v>
                </c:pt>
                <c:pt idx="12">
                  <c:v>155749.95161427598</c:v>
                </c:pt>
                <c:pt idx="13">
                  <c:v>157034.49346271745</c:v>
                </c:pt>
                <c:pt idx="14">
                  <c:v>157776.72229386156</c:v>
                </c:pt>
                <c:pt idx="15">
                  <c:v>158908.77693827578</c:v>
                </c:pt>
                <c:pt idx="16">
                  <c:v>159775.56612208346</c:v>
                </c:pt>
                <c:pt idx="17">
                  <c:v>161135.8419821829</c:v>
                </c:pt>
                <c:pt idx="18">
                  <c:v>162451.20985495963</c:v>
                </c:pt>
                <c:pt idx="19">
                  <c:v>163102.73585115993</c:v>
                </c:pt>
                <c:pt idx="20">
                  <c:v>164704.82423072547</c:v>
                </c:pt>
                <c:pt idx="21">
                  <c:v>166774.62825992497</c:v>
                </c:pt>
                <c:pt idx="22">
                  <c:v>168119.78734813415</c:v>
                </c:pt>
                <c:pt idx="23">
                  <c:v>168837.35392570688</c:v>
                </c:pt>
                <c:pt idx="24">
                  <c:v>170189.70486209641</c:v>
                </c:pt>
                <c:pt idx="25">
                  <c:v>170940.67678504437</c:v>
                </c:pt>
                <c:pt idx="26">
                  <c:v>172488.54385147765</c:v>
                </c:pt>
                <c:pt idx="27">
                  <c:v>173966.81281206958</c:v>
                </c:pt>
                <c:pt idx="28">
                  <c:v>175725.22549564746</c:v>
                </c:pt>
                <c:pt idx="29">
                  <c:v>177048.29679802607</c:v>
                </c:pt>
                <c:pt idx="30">
                  <c:v>178147.79983428423</c:v>
                </c:pt>
                <c:pt idx="31">
                  <c:v>179112.06787726935</c:v>
                </c:pt>
                <c:pt idx="32">
                  <c:v>178329.56489023508</c:v>
                </c:pt>
                <c:pt idx="33">
                  <c:v>178770.72863445373</c:v>
                </c:pt>
                <c:pt idx="34">
                  <c:v>178603.48188023223</c:v>
                </c:pt>
                <c:pt idx="35">
                  <c:v>179817.71862081153</c:v>
                </c:pt>
                <c:pt idx="36">
                  <c:v>181372.51503939735</c:v>
                </c:pt>
                <c:pt idx="37">
                  <c:v>181936.22237951204</c:v>
                </c:pt>
                <c:pt idx="38">
                  <c:v>183249.71919435682</c:v>
                </c:pt>
                <c:pt idx="39">
                  <c:v>183934.60546838905</c:v>
                </c:pt>
                <c:pt idx="40">
                  <c:v>183887.2644517695</c:v>
                </c:pt>
                <c:pt idx="41">
                  <c:v>185113.5245953172</c:v>
                </c:pt>
                <c:pt idx="42">
                  <c:v>185951.50341951955</c:v>
                </c:pt>
                <c:pt idx="43">
                  <c:v>186327.43498947733</c:v>
                </c:pt>
                <c:pt idx="44">
                  <c:v>188060.02798581048</c:v>
                </c:pt>
                <c:pt idx="45">
                  <c:v>189241.23241961189</c:v>
                </c:pt>
                <c:pt idx="46">
                  <c:v>190637.21626184703</c:v>
                </c:pt>
                <c:pt idx="47">
                  <c:v>192295.8979538792</c:v>
                </c:pt>
                <c:pt idx="48">
                  <c:v>192369.78508702712</c:v>
                </c:pt>
                <c:pt idx="49">
                  <c:v>192883.10723593095</c:v>
                </c:pt>
                <c:pt idx="50">
                  <c:v>192843.12066843835</c:v>
                </c:pt>
                <c:pt idx="51">
                  <c:v>193922.51742505585</c:v>
                </c:pt>
                <c:pt idx="52">
                  <c:v>195317.99388277292</c:v>
                </c:pt>
                <c:pt idx="53">
                  <c:v>196016.91651313799</c:v>
                </c:pt>
                <c:pt idx="54">
                  <c:v>196585.28331267869</c:v>
                </c:pt>
                <c:pt idx="55">
                  <c:v>197990.95348983322</c:v>
                </c:pt>
                <c:pt idx="56">
                  <c:v>199215.67996747702</c:v>
                </c:pt>
                <c:pt idx="57">
                  <c:v>200587.47942621401</c:v>
                </c:pt>
                <c:pt idx="58">
                  <c:v>199463.00156900426</c:v>
                </c:pt>
                <c:pt idx="59">
                  <c:v>198793.86460151497</c:v>
                </c:pt>
                <c:pt idx="60">
                  <c:v>199136.63890450454</c:v>
                </c:pt>
                <c:pt idx="61">
                  <c:v>200432.3613853844</c:v>
                </c:pt>
                <c:pt idx="62">
                  <c:v>201033.04084492574</c:v>
                </c:pt>
                <c:pt idx="63">
                  <c:v>202645.20995755805</c:v>
                </c:pt>
                <c:pt idx="64">
                  <c:v>203220.70238066919</c:v>
                </c:pt>
                <c:pt idx="65">
                  <c:v>202987.76515041999</c:v>
                </c:pt>
                <c:pt idx="66">
                  <c:v>203147.39108255593</c:v>
                </c:pt>
                <c:pt idx="67">
                  <c:v>203498.431538684</c:v>
                </c:pt>
                <c:pt idx="68">
                  <c:v>203290.98917924878</c:v>
                </c:pt>
                <c:pt idx="69">
                  <c:v>203821.34189180823</c:v>
                </c:pt>
                <c:pt idx="70">
                  <c:v>206091.02825694319</c:v>
                </c:pt>
                <c:pt idx="71">
                  <c:v>207209.0581261584</c:v>
                </c:pt>
                <c:pt idx="72">
                  <c:v>209365.38494042866</c:v>
                </c:pt>
                <c:pt idx="73">
                  <c:v>209211.98340379246</c:v>
                </c:pt>
                <c:pt idx="74">
                  <c:v>207817.86108331603</c:v>
                </c:pt>
                <c:pt idx="75">
                  <c:v>207975.62727602851</c:v>
                </c:pt>
                <c:pt idx="76">
                  <c:v>210146.50870477376</c:v>
                </c:pt>
                <c:pt idx="77">
                  <c:v>211881.4992537483</c:v>
                </c:pt>
                <c:pt idx="78">
                  <c:v>214892.94380484632</c:v>
                </c:pt>
                <c:pt idx="79">
                  <c:v>216896.65910971665</c:v>
                </c:pt>
                <c:pt idx="80">
                  <c:v>219650.02273250127</c:v>
                </c:pt>
                <c:pt idx="81">
                  <c:v>221290.2140704972</c:v>
                </c:pt>
                <c:pt idx="82">
                  <c:v>223500.91134918883</c:v>
                </c:pt>
                <c:pt idx="83">
                  <c:v>225504.49984514934</c:v>
                </c:pt>
                <c:pt idx="84">
                  <c:v>227177.22757744108</c:v>
                </c:pt>
                <c:pt idx="85">
                  <c:v>229014.29686637042</c:v>
                </c:pt>
                <c:pt idx="86">
                  <c:v>231629.19922072033</c:v>
                </c:pt>
                <c:pt idx="87">
                  <c:v>233419.04085173499</c:v>
                </c:pt>
                <c:pt idx="88">
                  <c:v>233529.59218180744</c:v>
                </c:pt>
                <c:pt idx="89">
                  <c:v>236132.38181822229</c:v>
                </c:pt>
                <c:pt idx="90">
                  <c:v>240891.79767939902</c:v>
                </c:pt>
                <c:pt idx="91">
                  <c:v>240877.20709782362</c:v>
                </c:pt>
                <c:pt idx="92">
                  <c:v>245044.08887114597</c:v>
                </c:pt>
                <c:pt idx="93">
                  <c:v>248871.24706350785</c:v>
                </c:pt>
                <c:pt idx="94">
                  <c:v>245549.13489465116</c:v>
                </c:pt>
                <c:pt idx="95">
                  <c:v>245441.91159042859</c:v>
                </c:pt>
                <c:pt idx="96">
                  <c:v>246535.34149200376</c:v>
                </c:pt>
                <c:pt idx="97">
                  <c:v>243996.79386382678</c:v>
                </c:pt>
                <c:pt idx="98">
                  <c:v>243932.96726384922</c:v>
                </c:pt>
                <c:pt idx="99">
                  <c:v>247338.80040988448</c:v>
                </c:pt>
                <c:pt idx="100">
                  <c:v>247620.85173241596</c:v>
                </c:pt>
                <c:pt idx="101">
                  <c:v>246467.1787798173</c:v>
                </c:pt>
                <c:pt idx="102">
                  <c:v>246367.96008326462</c:v>
                </c:pt>
                <c:pt idx="103">
                  <c:v>248374.03177509911</c:v>
                </c:pt>
                <c:pt idx="104">
                  <c:v>248207.66835236072</c:v>
                </c:pt>
                <c:pt idx="105">
                  <c:v>246351.71824881656</c:v>
                </c:pt>
                <c:pt idx="106">
                  <c:v>249787.08995897562</c:v>
                </c:pt>
                <c:pt idx="107">
                  <c:v>251106.53966661199</c:v>
                </c:pt>
                <c:pt idx="108">
                  <c:v>250133.60625163669</c:v>
                </c:pt>
                <c:pt idx="109">
                  <c:v>248716.93099504674</c:v>
                </c:pt>
                <c:pt idx="110">
                  <c:v>250262.79215899581</c:v>
                </c:pt>
                <c:pt idx="111">
                  <c:v>243556.53476263466</c:v>
                </c:pt>
                <c:pt idx="112">
                  <c:v>258775.45472676738</c:v>
                </c:pt>
                <c:pt idx="113">
                  <c:v>255115.57330484968</c:v>
                </c:pt>
                <c:pt idx="114">
                  <c:v>253747.65871337947</c:v>
                </c:pt>
                <c:pt idx="115">
                  <c:v>251560.74816785171</c:v>
                </c:pt>
                <c:pt idx="116">
                  <c:v>252746.17952195776</c:v>
                </c:pt>
                <c:pt idx="117">
                  <c:v>247760.91755700688</c:v>
                </c:pt>
                <c:pt idx="118">
                  <c:v>252019.70227926387</c:v>
                </c:pt>
                <c:pt idx="119">
                  <c:v>251496.18266854336</c:v>
                </c:pt>
                <c:pt idx="120">
                  <c:v>252310.2204131161</c:v>
                </c:pt>
                <c:pt idx="121">
                  <c:v>254879.32581201999</c:v>
                </c:pt>
                <c:pt idx="122">
                  <c:v>257492.52587429096</c:v>
                </c:pt>
                <c:pt idx="123">
                  <c:v>253770.88253926934</c:v>
                </c:pt>
                <c:pt idx="124">
                  <c:v>255112.52325885434</c:v>
                </c:pt>
                <c:pt idx="125">
                  <c:v>254200.62301008249</c:v>
                </c:pt>
                <c:pt idx="126">
                  <c:v>255828.76872533804</c:v>
                </c:pt>
                <c:pt idx="127">
                  <c:v>258007.79573275044</c:v>
                </c:pt>
                <c:pt idx="128">
                  <c:v>256825.14150991279</c:v>
                </c:pt>
                <c:pt idx="129">
                  <c:v>258545.27140220156</c:v>
                </c:pt>
                <c:pt idx="130">
                  <c:v>258959.10355991853</c:v>
                </c:pt>
                <c:pt idx="131">
                  <c:v>258837.62428812118</c:v>
                </c:pt>
                <c:pt idx="132">
                  <c:v>261967.61042917555</c:v>
                </c:pt>
                <c:pt idx="133">
                  <c:v>265752.208667417</c:v>
                </c:pt>
                <c:pt idx="134">
                  <c:v>269069.39004732086</c:v>
                </c:pt>
                <c:pt idx="135">
                  <c:v>269901.15208774805</c:v>
                </c:pt>
                <c:pt idx="136">
                  <c:v>269399.54481309932</c:v>
                </c:pt>
                <c:pt idx="137">
                  <c:v>269019.2719170691</c:v>
                </c:pt>
                <c:pt idx="138">
                  <c:v>269405.08123510599</c:v>
                </c:pt>
                <c:pt idx="139">
                  <c:v>269843.73273273953</c:v>
                </c:pt>
                <c:pt idx="140">
                  <c:v>272026.08284805261</c:v>
                </c:pt>
                <c:pt idx="141">
                  <c:v>277507.3909337878</c:v>
                </c:pt>
                <c:pt idx="142">
                  <c:v>276864.62326607178</c:v>
                </c:pt>
                <c:pt idx="143">
                  <c:v>280324.4519338056</c:v>
                </c:pt>
                <c:pt idx="144">
                  <c:v>278518.12521308917</c:v>
                </c:pt>
                <c:pt idx="145">
                  <c:v>279850.47834512364</c:v>
                </c:pt>
                <c:pt idx="146">
                  <c:v>278250.40722111193</c:v>
                </c:pt>
                <c:pt idx="147">
                  <c:v>283910.1339493324</c:v>
                </c:pt>
                <c:pt idx="148">
                  <c:v>284749.78992963751</c:v>
                </c:pt>
                <c:pt idx="149">
                  <c:v>288076.8498492348</c:v>
                </c:pt>
                <c:pt idx="150">
                  <c:v>291165.55921165657</c:v>
                </c:pt>
                <c:pt idx="151">
                  <c:v>288882.27500066778</c:v>
                </c:pt>
                <c:pt idx="152">
                  <c:v>290221.97954012197</c:v>
                </c:pt>
                <c:pt idx="153">
                  <c:v>290640.47204413079</c:v>
                </c:pt>
                <c:pt idx="154">
                  <c:v>292494.55281858577</c:v>
                </c:pt>
                <c:pt idx="155">
                  <c:v>290562.37625349057</c:v>
                </c:pt>
                <c:pt idx="156">
                  <c:v>299565.66321160784</c:v>
                </c:pt>
                <c:pt idx="157">
                  <c:v>301131.72793872014</c:v>
                </c:pt>
                <c:pt idx="158">
                  <c:v>298617.56073458341</c:v>
                </c:pt>
                <c:pt idx="159">
                  <c:v>298280.21936001151</c:v>
                </c:pt>
                <c:pt idx="160">
                  <c:v>297053.95305471669</c:v>
                </c:pt>
                <c:pt idx="161">
                  <c:v>296081.28976322303</c:v>
                </c:pt>
                <c:pt idx="162">
                  <c:v>296342.88205847359</c:v>
                </c:pt>
                <c:pt idx="163">
                  <c:v>305279.17409885093</c:v>
                </c:pt>
                <c:pt idx="164">
                  <c:v>303897.20232596266</c:v>
                </c:pt>
                <c:pt idx="165">
                  <c:v>305164.00807104522</c:v>
                </c:pt>
                <c:pt idx="166">
                  <c:v>304929.49166902661</c:v>
                </c:pt>
                <c:pt idx="167">
                  <c:v>303014.29375112057</c:v>
                </c:pt>
                <c:pt idx="168">
                  <c:v>302102.23741618602</c:v>
                </c:pt>
                <c:pt idx="169">
                  <c:v>303590.9089977867</c:v>
                </c:pt>
                <c:pt idx="170">
                  <c:v>304136.59982608445</c:v>
                </c:pt>
                <c:pt idx="171">
                  <c:v>302021.65028426691</c:v>
                </c:pt>
                <c:pt idx="172">
                  <c:v>302007.62034780066</c:v>
                </c:pt>
                <c:pt idx="173">
                  <c:v>301937.28834507801</c:v>
                </c:pt>
                <c:pt idx="174">
                  <c:v>304517.36036631576</c:v>
                </c:pt>
                <c:pt idx="175">
                  <c:v>305139.02122310409</c:v>
                </c:pt>
                <c:pt idx="176">
                  <c:v>307279.1117289887</c:v>
                </c:pt>
                <c:pt idx="177">
                  <c:v>309042.42863631144</c:v>
                </c:pt>
                <c:pt idx="178">
                  <c:v>307904.52085282526</c:v>
                </c:pt>
                <c:pt idx="179">
                  <c:v>310592.80448834784</c:v>
                </c:pt>
                <c:pt idx="180">
                  <c:v>307991.84820205922</c:v>
                </c:pt>
                <c:pt idx="181">
                  <c:v>308864.97883431875</c:v>
                </c:pt>
                <c:pt idx="182">
                  <c:v>309561.70208923862</c:v>
                </c:pt>
                <c:pt idx="183">
                  <c:v>310776.87043223938</c:v>
                </c:pt>
                <c:pt idx="184">
                  <c:v>311643.51655400335</c:v>
                </c:pt>
                <c:pt idx="185">
                  <c:v>315442.48938593938</c:v>
                </c:pt>
                <c:pt idx="186">
                  <c:v>311141.17468126665</c:v>
                </c:pt>
                <c:pt idx="187">
                  <c:v>311497.72271955502</c:v>
                </c:pt>
                <c:pt idx="188">
                  <c:v>308514.55539436382</c:v>
                </c:pt>
                <c:pt idx="189">
                  <c:v>308741.32487680565</c:v>
                </c:pt>
                <c:pt idx="190">
                  <c:v>308327.34749513207</c:v>
                </c:pt>
                <c:pt idx="191">
                  <c:v>312867.13897621341</c:v>
                </c:pt>
                <c:pt idx="192">
                  <c:v>313804.93038125325</c:v>
                </c:pt>
                <c:pt idx="193">
                  <c:v>314037.24946809118</c:v>
                </c:pt>
                <c:pt idx="194">
                  <c:v>311731.9324234497</c:v>
                </c:pt>
                <c:pt idx="195">
                  <c:v>307230.10954395967</c:v>
                </c:pt>
                <c:pt idx="196">
                  <c:v>297010.55523749784</c:v>
                </c:pt>
                <c:pt idx="197">
                  <c:v>287022.29430766264</c:v>
                </c:pt>
                <c:pt idx="198">
                  <c:v>281064.855095034</c:v>
                </c:pt>
                <c:pt idx="199">
                  <c:v>284731.1577605629</c:v>
                </c:pt>
                <c:pt idx="200">
                  <c:v>285495.84094506141</c:v>
                </c:pt>
                <c:pt idx="201">
                  <c:v>284662.69502713135</c:v>
                </c:pt>
                <c:pt idx="202">
                  <c:v>287598.14132339752</c:v>
                </c:pt>
                <c:pt idx="203">
                  <c:v>290228.15210005047</c:v>
                </c:pt>
                <c:pt idx="204">
                  <c:v>294618.49837810558</c:v>
                </c:pt>
                <c:pt idx="205">
                  <c:v>297621.55639043375</c:v>
                </c:pt>
                <c:pt idx="206">
                  <c:v>305227.60107598477</c:v>
                </c:pt>
                <c:pt idx="207">
                  <c:v>299333.20513536606</c:v>
                </c:pt>
                <c:pt idx="208">
                  <c:v>302370.5838706455</c:v>
                </c:pt>
                <c:pt idx="209">
                  <c:v>302929.87627204758</c:v>
                </c:pt>
                <c:pt idx="210">
                  <c:v>304730.57825090445</c:v>
                </c:pt>
                <c:pt idx="211">
                  <c:v>305262.06313178316</c:v>
                </c:pt>
                <c:pt idx="212">
                  <c:v>307200.22820508876</c:v>
                </c:pt>
                <c:pt idx="213">
                  <c:v>313075.94062197115</c:v>
                </c:pt>
                <c:pt idx="214">
                  <c:v>315799.83658937161</c:v>
                </c:pt>
                <c:pt idx="215">
                  <c:v>314740.15004897397</c:v>
                </c:pt>
                <c:pt idx="216">
                  <c:v>314756.54526227916</c:v>
                </c:pt>
                <c:pt idx="217">
                  <c:v>315078.00408004096</c:v>
                </c:pt>
                <c:pt idx="218">
                  <c:v>314962.68802044587</c:v>
                </c:pt>
                <c:pt idx="219">
                  <c:v>317801.0790023728</c:v>
                </c:pt>
                <c:pt idx="220">
                  <c:v>322472.97886160971</c:v>
                </c:pt>
                <c:pt idx="221">
                  <c:v>326065.85128801491</c:v>
                </c:pt>
                <c:pt idx="222">
                  <c:v>329084.25981769554</c:v>
                </c:pt>
                <c:pt idx="223">
                  <c:v>331248.82012612768</c:v>
                </c:pt>
                <c:pt idx="224">
                  <c:v>332845.47113552236</c:v>
                </c:pt>
                <c:pt idx="225">
                  <c:v>334816.72088753455</c:v>
                </c:pt>
                <c:pt idx="226">
                  <c:v>336045.97839688417</c:v>
                </c:pt>
                <c:pt idx="227">
                  <c:v>335087.70173596329</c:v>
                </c:pt>
                <c:pt idx="228">
                  <c:v>336900.56405318563</c:v>
                </c:pt>
                <c:pt idx="229">
                  <c:v>336043.80191794259</c:v>
                </c:pt>
                <c:pt idx="230">
                  <c:v>336008.48690132308</c:v>
                </c:pt>
                <c:pt idx="231">
                  <c:v>339082.4946868897</c:v>
                </c:pt>
                <c:pt idx="232">
                  <c:v>341093.1881188337</c:v>
                </c:pt>
                <c:pt idx="233">
                  <c:v>342078.40903780499</c:v>
                </c:pt>
                <c:pt idx="234">
                  <c:v>343150.86897157092</c:v>
                </c:pt>
                <c:pt idx="235">
                  <c:v>345021.16329050774</c:v>
                </c:pt>
                <c:pt idx="236">
                  <c:v>347821.78309485212</c:v>
                </c:pt>
                <c:pt idx="237">
                  <c:v>348583.40731166955</c:v>
                </c:pt>
                <c:pt idx="238">
                  <c:v>346917.10370899295</c:v>
                </c:pt>
                <c:pt idx="239">
                  <c:v>346044.23669512139</c:v>
                </c:pt>
                <c:pt idx="240">
                  <c:v>342044.91208422824</c:v>
                </c:pt>
                <c:pt idx="241">
                  <c:v>343022.52782501787</c:v>
                </c:pt>
                <c:pt idx="242">
                  <c:v>347542.69061288959</c:v>
                </c:pt>
                <c:pt idx="243">
                  <c:v>351369.95346273575</c:v>
                </c:pt>
                <c:pt idx="244">
                  <c:v>352866.4196694587</c:v>
                </c:pt>
                <c:pt idx="245">
                  <c:v>354980.30179929081</c:v>
                </c:pt>
                <c:pt idx="246">
                  <c:v>355039.62173561938</c:v>
                </c:pt>
                <c:pt idx="247">
                  <c:v>355997.23152826703</c:v>
                </c:pt>
                <c:pt idx="248">
                  <c:v>359457.13867240248</c:v>
                </c:pt>
                <c:pt idx="249">
                  <c:v>356823.57970308268</c:v>
                </c:pt>
                <c:pt idx="250">
                  <c:v>355618.51294202782</c:v>
                </c:pt>
                <c:pt idx="251">
                  <c:v>356872.49337662366</c:v>
                </c:pt>
                <c:pt idx="252">
                  <c:v>357161.12197030755</c:v>
                </c:pt>
                <c:pt idx="253">
                  <c:v>358981.93749593513</c:v>
                </c:pt>
                <c:pt idx="254">
                  <c:v>359989.83847045666</c:v>
                </c:pt>
                <c:pt idx="255">
                  <c:v>360859.46479214728</c:v>
                </c:pt>
                <c:pt idx="256">
                  <c:v>361123.02026688994</c:v>
                </c:pt>
                <c:pt idx="257">
                  <c:v>361554.82112035831</c:v>
                </c:pt>
                <c:pt idx="258">
                  <c:v>364079.25365958503</c:v>
                </c:pt>
                <c:pt idx="259">
                  <c:v>362493.62990501686</c:v>
                </c:pt>
                <c:pt idx="260">
                  <c:v>367175.20502032991</c:v>
                </c:pt>
                <c:pt idx="261">
                  <c:v>370021.37714729877</c:v>
                </c:pt>
                <c:pt idx="262">
                  <c:v>373517.41841914202</c:v>
                </c:pt>
                <c:pt idx="263">
                  <c:v>373293.02807742124</c:v>
                </c:pt>
                <c:pt idx="264">
                  <c:v>374022.9760757162</c:v>
                </c:pt>
                <c:pt idx="265">
                  <c:v>372387.86911559809</c:v>
                </c:pt>
                <c:pt idx="266">
                  <c:v>373634.34167590807</c:v>
                </c:pt>
                <c:pt idx="267">
                  <c:v>371384.28175704525</c:v>
                </c:pt>
                <c:pt idx="268">
                  <c:v>373119.23139167111</c:v>
                </c:pt>
                <c:pt idx="269">
                  <c:v>374091.83862489002</c:v>
                </c:pt>
                <c:pt idx="270">
                  <c:v>371429.56208906544</c:v>
                </c:pt>
                <c:pt idx="271">
                  <c:v>370652.12379278883</c:v>
                </c:pt>
                <c:pt idx="272">
                  <c:v>371288.03886012663</c:v>
                </c:pt>
                <c:pt idx="273">
                  <c:v>377477.54277926311</c:v>
                </c:pt>
                <c:pt idx="274">
                  <c:v>378570.68438119534</c:v>
                </c:pt>
                <c:pt idx="275">
                  <c:v>383795.69140565477</c:v>
                </c:pt>
                <c:pt idx="276">
                  <c:v>384161.02258916828</c:v>
                </c:pt>
                <c:pt idx="277">
                  <c:v>387152.26934348396</c:v>
                </c:pt>
                <c:pt idx="278">
                  <c:v>385098.77480932337</c:v>
                </c:pt>
                <c:pt idx="279">
                  <c:v>383770.84132862417</c:v>
                </c:pt>
                <c:pt idx="280">
                  <c:v>382493.13954634557</c:v>
                </c:pt>
                <c:pt idx="281">
                  <c:v>384263.35049141489</c:v>
                </c:pt>
                <c:pt idx="282">
                  <c:v>385375.44177573931</c:v>
                </c:pt>
                <c:pt idx="283">
                  <c:v>385348.70167060668</c:v>
                </c:pt>
                <c:pt idx="284">
                  <c:v>389349.69462829176</c:v>
                </c:pt>
                <c:pt idx="285">
                  <c:v>389139.68571180454</c:v>
                </c:pt>
                <c:pt idx="286">
                  <c:v>391797.96691066929</c:v>
                </c:pt>
                <c:pt idx="287">
                  <c:v>393278.48049986048</c:v>
                </c:pt>
                <c:pt idx="288">
                  <c:v>398218.17136630008</c:v>
                </c:pt>
                <c:pt idx="289">
                  <c:v>397279.56536576489</c:v>
                </c:pt>
                <c:pt idx="290">
                  <c:v>397870.91963403922</c:v>
                </c:pt>
                <c:pt idx="291">
                  <c:v>399501.28611730039</c:v>
                </c:pt>
                <c:pt idx="292">
                  <c:v>399732.71848081448</c:v>
                </c:pt>
                <c:pt idx="293">
                  <c:v>398858.47439426428</c:v>
                </c:pt>
                <c:pt idx="294">
                  <c:v>405162.0464944687</c:v>
                </c:pt>
                <c:pt idx="295">
                  <c:v>407210.7971977772</c:v>
                </c:pt>
                <c:pt idx="296">
                  <c:v>406943.39728581085</c:v>
                </c:pt>
                <c:pt idx="297">
                  <c:v>406630.2533059881</c:v>
                </c:pt>
                <c:pt idx="298">
                  <c:v>407583.09310051857</c:v>
                </c:pt>
                <c:pt idx="299">
                  <c:v>404456.91792267491</c:v>
                </c:pt>
                <c:pt idx="300">
                  <c:v>407427.70195981802</c:v>
                </c:pt>
                <c:pt idx="301">
                  <c:v>408081.91108254489</c:v>
                </c:pt>
                <c:pt idx="302">
                  <c:v>409839.46168356395</c:v>
                </c:pt>
                <c:pt idx="303">
                  <c:v>418271.58833820286</c:v>
                </c:pt>
                <c:pt idx="304">
                  <c:v>417842.5313869997</c:v>
                </c:pt>
                <c:pt idx="305">
                  <c:v>421776.99892069789</c:v>
                </c:pt>
                <c:pt idx="306">
                  <c:v>422601.77230372897</c:v>
                </c:pt>
                <c:pt idx="307">
                  <c:v>419884.12359957496</c:v>
                </c:pt>
                <c:pt idx="308">
                  <c:v>421031.92252324458</c:v>
                </c:pt>
                <c:pt idx="309">
                  <c:v>420522.81882879167</c:v>
                </c:pt>
                <c:pt idx="310">
                  <c:v>421734.64262237464</c:v>
                </c:pt>
                <c:pt idx="311">
                  <c:v>427619.66031207296</c:v>
                </c:pt>
                <c:pt idx="312">
                  <c:v>425849.39784650097</c:v>
                </c:pt>
                <c:pt idx="313">
                  <c:v>428793.87101891084</c:v>
                </c:pt>
                <c:pt idx="314">
                  <c:v>428685.65278794518</c:v>
                </c:pt>
                <c:pt idx="315">
                  <c:v>428772.9163098252</c:v>
                </c:pt>
                <c:pt idx="316">
                  <c:v>432843.55310168664</c:v>
                </c:pt>
                <c:pt idx="317">
                  <c:v>435413.5972334462</c:v>
                </c:pt>
                <c:pt idx="318">
                  <c:v>428266.07674102287</c:v>
                </c:pt>
                <c:pt idx="319">
                  <c:v>431750.49330272095</c:v>
                </c:pt>
                <c:pt idx="320">
                  <c:v>432349.37384650961</c:v>
                </c:pt>
                <c:pt idx="321">
                  <c:v>439282.68772031687</c:v>
                </c:pt>
                <c:pt idx="322">
                  <c:v>439425.36291896011</c:v>
                </c:pt>
                <c:pt idx="323">
                  <c:v>445454.32688692439</c:v>
                </c:pt>
                <c:pt idx="324">
                  <c:v>444386.73490058369</c:v>
                </c:pt>
                <c:pt idx="325">
                  <c:v>447503.04128299252</c:v>
                </c:pt>
                <c:pt idx="326">
                  <c:v>449571.113740589</c:v>
                </c:pt>
                <c:pt idx="327">
                  <c:v>446826.57035838964</c:v>
                </c:pt>
                <c:pt idx="328">
                  <c:v>448978.05548665591</c:v>
                </c:pt>
                <c:pt idx="329">
                  <c:v>451914.64877907984</c:v>
                </c:pt>
                <c:pt idx="330">
                  <c:v>452970.96304691193</c:v>
                </c:pt>
                <c:pt idx="331">
                  <c:v>452667.14439744945</c:v>
                </c:pt>
                <c:pt idx="332">
                  <c:v>454023.36332115857</c:v>
                </c:pt>
                <c:pt idx="333">
                  <c:v>433291.36084473639</c:v>
                </c:pt>
                <c:pt idx="334">
                  <c:v>397532.60496950068</c:v>
                </c:pt>
                <c:pt idx="335">
                  <c:v>460562.24593940494</c:v>
                </c:pt>
                <c:pt idx="336">
                  <c:v>473466.07326507743</c:v>
                </c:pt>
                <c:pt idx="337">
                  <c:v>484418.37616451783</c:v>
                </c:pt>
                <c:pt idx="338">
                  <c:v>487374.87881313311</c:v>
                </c:pt>
                <c:pt idx="339">
                  <c:v>489286.95309580013</c:v>
                </c:pt>
                <c:pt idx="340">
                  <c:v>481175.22556684562</c:v>
                </c:pt>
                <c:pt idx="341">
                  <c:v>482195.05752088944</c:v>
                </c:pt>
                <c:pt idx="342">
                  <c:v>489304.38788196305</c:v>
                </c:pt>
                <c:pt idx="343">
                  <c:v>500597.96072464279</c:v>
                </c:pt>
                <c:pt idx="344">
                  <c:v>492333.88364315563</c:v>
                </c:pt>
                <c:pt idx="345">
                  <c:v>528633.90630461054</c:v>
                </c:pt>
                <c:pt idx="346">
                  <c:v>525280.76466488722</c:v>
                </c:pt>
                <c:pt idx="347">
                  <c:v>529824.23703489336</c:v>
                </c:pt>
                <c:pt idx="348">
                  <c:v>535746.88582388882</c:v>
                </c:pt>
                <c:pt idx="349">
                  <c:v>532988.42167866987</c:v>
                </c:pt>
                <c:pt idx="350">
                  <c:v>546873.12524854904</c:v>
                </c:pt>
                <c:pt idx="351">
                  <c:v>547918.40448223264</c:v>
                </c:pt>
                <c:pt idx="352">
                  <c:v>552005.53263863013</c:v>
                </c:pt>
                <c:pt idx="353">
                  <c:v>554702.98534073704</c:v>
                </c:pt>
                <c:pt idx="354">
                  <c:v>552671.83973179269</c:v>
                </c:pt>
                <c:pt idx="355">
                  <c:v>561755.82597219094</c:v>
                </c:pt>
                <c:pt idx="356">
                  <c:v>564738.78800188308</c:v>
                </c:pt>
                <c:pt idx="357">
                  <c:v>572760.88012307254</c:v>
                </c:pt>
                <c:pt idx="358">
                  <c:v>576584.53063992201</c:v>
                </c:pt>
                <c:pt idx="359">
                  <c:v>578312.79990005854</c:v>
                </c:pt>
                <c:pt idx="360">
                  <c:v>584086.14545980864</c:v>
                </c:pt>
                <c:pt idx="361">
                  <c:v>583978.75138022192</c:v>
                </c:pt>
                <c:pt idx="362">
                  <c:v>587852.39975476998</c:v>
                </c:pt>
                <c:pt idx="363">
                  <c:v>588113.60773607693</c:v>
                </c:pt>
                <c:pt idx="364">
                  <c:v>590531.20918813755</c:v>
                </c:pt>
                <c:pt idx="365">
                  <c:v>588189.52279163222</c:v>
                </c:pt>
                <c:pt idx="366">
                  <c:v>586237.28209515498</c:v>
                </c:pt>
                <c:pt idx="367">
                  <c:v>593299.3042890809</c:v>
                </c:pt>
                <c:pt idx="368">
                  <c:v>590679.51689511049</c:v>
                </c:pt>
                <c:pt idx="369">
                  <c:v>590473.07958932058</c:v>
                </c:pt>
                <c:pt idx="370">
                  <c:v>591069.8175916404</c:v>
                </c:pt>
                <c:pt idx="371">
                  <c:v>592339.47922836454</c:v>
                </c:pt>
                <c:pt idx="372">
                  <c:v>595742.98289124109</c:v>
                </c:pt>
                <c:pt idx="373">
                  <c:v>595134.03954882897</c:v>
                </c:pt>
                <c:pt idx="374">
                  <c:v>596773.72953925794</c:v>
                </c:pt>
                <c:pt idx="375">
                  <c:v>598764.097151177</c:v>
                </c:pt>
                <c:pt idx="376">
                  <c:v>598990.15299834753</c:v>
                </c:pt>
                <c:pt idx="377">
                  <c:v>599630.14813316357</c:v>
                </c:pt>
                <c:pt idx="378">
                  <c:v>600549.82306805335</c:v>
                </c:pt>
                <c:pt idx="379">
                  <c:v>600285.20591431146</c:v>
                </c:pt>
                <c:pt idx="380">
                  <c:v>601791.25650288607</c:v>
                </c:pt>
                <c:pt idx="381">
                  <c:v>601761.87591366936</c:v>
                </c:pt>
                <c:pt idx="382">
                  <c:v>601834.82217959315</c:v>
                </c:pt>
                <c:pt idx="383">
                  <c:v>603121.56516115472</c:v>
                </c:pt>
                <c:pt idx="384">
                  <c:v>602995.5306588742</c:v>
                </c:pt>
                <c:pt idx="385">
                  <c:v>605374.81678447407</c:v>
                </c:pt>
                <c:pt idx="386">
                  <c:v>605394.54520881956</c:v>
                </c:pt>
                <c:pt idx="387">
                  <c:v>607276.23877263127</c:v>
                </c:pt>
                <c:pt idx="388">
                  <c:v>608580.54250013107</c:v>
                </c:pt>
                <c:pt idx="389">
                  <c:v>609870.44237295608</c:v>
                </c:pt>
                <c:pt idx="390">
                  <c:v>611588.64334814227</c:v>
                </c:pt>
                <c:pt idx="391">
                  <c:v>611091.18646942929</c:v>
                </c:pt>
                <c:pt idx="392">
                  <c:v>612437.45794455963</c:v>
                </c:pt>
                <c:pt idx="393">
                  <c:v>614232.42937918601</c:v>
                </c:pt>
                <c:pt idx="394">
                  <c:v>614487.81944198324</c:v>
                </c:pt>
                <c:pt idx="395">
                  <c:v>614341.84752159822</c:v>
                </c:pt>
                <c:pt idx="396">
                  <c:v>615170.82598220301</c:v>
                </c:pt>
                <c:pt idx="397">
                  <c:v>616081.34990025125</c:v>
                </c:pt>
                <c:pt idx="398">
                  <c:v>617207.49917347194</c:v>
                </c:pt>
                <c:pt idx="399">
                  <c:v>617263.28055757796</c:v>
                </c:pt>
                <c:pt idx="400">
                  <c:v>617393.03350060037</c:v>
                </c:pt>
                <c:pt idx="401">
                  <c:v>618569.85178725026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542-4FC2-A1E6-C379A5B1A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8371279"/>
        <c:axId val="8883727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FinalData!$A$1</c15:sqref>
                        </c15:formulaRef>
                      </c:ext>
                    </c:extLst>
                    <c:strCache>
                      <c:ptCount val="1"/>
                      <c:pt idx="0">
                        <c:v>observation_date</c:v>
                      </c:pt>
                    </c:strCache>
                  </c:strRef>
                </c:tx>
                <c:spPr>
                  <a:ln w="317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FinalData!$J$2:$J$403</c15:sqref>
                        </c15:formulaRef>
                      </c:ext>
                    </c:extLst>
                    <c:numCache>
                      <c:formatCode>m/d/yyyy</c:formatCode>
                      <c:ptCount val="402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  <c:pt idx="396">
                        <c:v>45658</c:v>
                      </c:pt>
                      <c:pt idx="397">
                        <c:v>45689</c:v>
                      </c:pt>
                      <c:pt idx="398">
                        <c:v>45717</c:v>
                      </c:pt>
                      <c:pt idx="399">
                        <c:v>45748</c:v>
                      </c:pt>
                      <c:pt idx="400">
                        <c:v>45778</c:v>
                      </c:pt>
                      <c:pt idx="401">
                        <c:v>45809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FinalData!$A$2:$A$403</c15:sqref>
                        </c15:formulaRef>
                      </c:ext>
                    </c:extLst>
                    <c:numCache>
                      <c:formatCode>General</c:formatCode>
                      <c:ptCount val="402"/>
                      <c:pt idx="0">
                        <c:v>1.469163706813045E-2</c:v>
                      </c:pt>
                      <c:pt idx="1">
                        <c:v>1.7194058766548271E-2</c:v>
                      </c:pt>
                      <c:pt idx="2">
                        <c:v>1.9696480464966096E-2</c:v>
                      </c:pt>
                      <c:pt idx="3">
                        <c:v>2.2118178882789795E-2</c:v>
                      </c:pt>
                      <c:pt idx="4">
                        <c:v>2.462060058120762E-2</c:v>
                      </c:pt>
                      <c:pt idx="5">
                        <c:v>2.7042298999031322E-2</c:v>
                      </c:pt>
                      <c:pt idx="6">
                        <c:v>2.9544720697449144E-2</c:v>
                      </c:pt>
                      <c:pt idx="7">
                        <c:v>3.2047142395866965E-2</c:v>
                      </c:pt>
                      <c:pt idx="8">
                        <c:v>3.430739425250242E-2</c:v>
                      </c:pt>
                      <c:pt idx="9">
                        <c:v>3.6809815950920248E-2</c:v>
                      </c:pt>
                      <c:pt idx="10">
                        <c:v>3.9231514368743947E-2</c:v>
                      </c:pt>
                      <c:pt idx="11">
                        <c:v>4.1733936067161768E-2</c:v>
                      </c:pt>
                      <c:pt idx="12">
                        <c:v>4.4155634484985468E-2</c:v>
                      </c:pt>
                      <c:pt idx="13">
                        <c:v>4.6658056183403296E-2</c:v>
                      </c:pt>
                      <c:pt idx="14">
                        <c:v>4.9160477881821117E-2</c:v>
                      </c:pt>
                      <c:pt idx="15">
                        <c:v>5.1582176299644816E-2</c:v>
                      </c:pt>
                      <c:pt idx="16">
                        <c:v>5.4084597998062645E-2</c:v>
                      </c:pt>
                      <c:pt idx="17">
                        <c:v>5.6506296415886344E-2</c:v>
                      </c:pt>
                      <c:pt idx="18">
                        <c:v>5.9008718114304165E-2</c:v>
                      </c:pt>
                      <c:pt idx="19">
                        <c:v>6.1511139812721986E-2</c:v>
                      </c:pt>
                      <c:pt idx="20">
                        <c:v>6.3771391669357441E-2</c:v>
                      </c:pt>
                      <c:pt idx="21">
                        <c:v>6.6273813367775269E-2</c:v>
                      </c:pt>
                      <c:pt idx="22">
                        <c:v>6.8695511785598962E-2</c:v>
                      </c:pt>
                      <c:pt idx="23">
                        <c:v>7.119793348401679E-2</c:v>
                      </c:pt>
                      <c:pt idx="24">
                        <c:v>7.3619631901840496E-2</c:v>
                      </c:pt>
                      <c:pt idx="25">
                        <c:v>7.612205360025831E-2</c:v>
                      </c:pt>
                      <c:pt idx="26">
                        <c:v>7.8624475298676139E-2</c:v>
                      </c:pt>
                      <c:pt idx="27">
                        <c:v>8.1046173716499845E-2</c:v>
                      </c:pt>
                      <c:pt idx="28">
                        <c:v>8.3548595414917659E-2</c:v>
                      </c:pt>
                      <c:pt idx="29">
                        <c:v>8.5970293832741365E-2</c:v>
                      </c:pt>
                      <c:pt idx="30">
                        <c:v>8.847271553115918E-2</c:v>
                      </c:pt>
                      <c:pt idx="31">
                        <c:v>9.0975137229577008E-2</c:v>
                      </c:pt>
                      <c:pt idx="32">
                        <c:v>9.323538908621247E-2</c:v>
                      </c:pt>
                      <c:pt idx="33">
                        <c:v>9.5737810784630284E-2</c:v>
                      </c:pt>
                      <c:pt idx="34">
                        <c:v>9.815950920245399E-2</c:v>
                      </c:pt>
                      <c:pt idx="35">
                        <c:v>0.10066193090087182</c:v>
                      </c:pt>
                      <c:pt idx="36">
                        <c:v>0.10308362931869551</c:v>
                      </c:pt>
                      <c:pt idx="37">
                        <c:v>0.10558605101711334</c:v>
                      </c:pt>
                      <c:pt idx="38">
                        <c:v>0.10808847271553115</c:v>
                      </c:pt>
                      <c:pt idx="39">
                        <c:v>0.11051017113335486</c:v>
                      </c:pt>
                      <c:pt idx="40">
                        <c:v>0.11301259283177269</c:v>
                      </c:pt>
                      <c:pt idx="41">
                        <c:v>0.11543429124959638</c:v>
                      </c:pt>
                      <c:pt idx="42">
                        <c:v>0.11793671294801421</c:v>
                      </c:pt>
                      <c:pt idx="43">
                        <c:v>0.12043913464643204</c:v>
                      </c:pt>
                      <c:pt idx="44">
                        <c:v>0.12278010978366161</c:v>
                      </c:pt>
                      <c:pt idx="45">
                        <c:v>0.12528253148207943</c:v>
                      </c:pt>
                      <c:pt idx="46">
                        <c:v>0.12770422989990313</c:v>
                      </c:pt>
                      <c:pt idx="47">
                        <c:v>0.13020665159832095</c:v>
                      </c:pt>
                      <c:pt idx="48">
                        <c:v>0.13262835001614465</c:v>
                      </c:pt>
                      <c:pt idx="49">
                        <c:v>0.13513077171456248</c:v>
                      </c:pt>
                      <c:pt idx="50">
                        <c:v>0.1376331934129803</c:v>
                      </c:pt>
                      <c:pt idx="51">
                        <c:v>0.140054891830804</c:v>
                      </c:pt>
                      <c:pt idx="52">
                        <c:v>0.14255731352922182</c:v>
                      </c:pt>
                      <c:pt idx="53">
                        <c:v>0.14497901194704552</c:v>
                      </c:pt>
                      <c:pt idx="54">
                        <c:v>0.14748143364546334</c:v>
                      </c:pt>
                      <c:pt idx="55">
                        <c:v>0.14998385534388117</c:v>
                      </c:pt>
                      <c:pt idx="56">
                        <c:v>0.15224410720051662</c:v>
                      </c:pt>
                      <c:pt idx="57">
                        <c:v>0.15474652889893445</c:v>
                      </c:pt>
                      <c:pt idx="58">
                        <c:v>0.15716822731675814</c:v>
                      </c:pt>
                      <c:pt idx="59">
                        <c:v>0.15967064901517597</c:v>
                      </c:pt>
                      <c:pt idx="60">
                        <c:v>0.16209234743299969</c:v>
                      </c:pt>
                      <c:pt idx="61">
                        <c:v>0.16459476913141749</c:v>
                      </c:pt>
                      <c:pt idx="62">
                        <c:v>0.16709719082983532</c:v>
                      </c:pt>
                      <c:pt idx="63">
                        <c:v>0.16951888924765904</c:v>
                      </c:pt>
                      <c:pt idx="64">
                        <c:v>0.17202131094607684</c:v>
                      </c:pt>
                      <c:pt idx="65">
                        <c:v>0.17444300936390056</c:v>
                      </c:pt>
                      <c:pt idx="66">
                        <c:v>0.17694543106231836</c:v>
                      </c:pt>
                      <c:pt idx="67">
                        <c:v>0.17944785276073619</c:v>
                      </c:pt>
                      <c:pt idx="68">
                        <c:v>0.18170810461737166</c:v>
                      </c:pt>
                      <c:pt idx="69">
                        <c:v>0.18421052631578946</c:v>
                      </c:pt>
                      <c:pt idx="70">
                        <c:v>0.18663222473361318</c:v>
                      </c:pt>
                      <c:pt idx="71">
                        <c:v>0.18913464643203098</c:v>
                      </c:pt>
                      <c:pt idx="72">
                        <c:v>0.1915563448498547</c:v>
                      </c:pt>
                      <c:pt idx="73">
                        <c:v>0.19405876654827253</c:v>
                      </c:pt>
                      <c:pt idx="74">
                        <c:v>0.19656118824669033</c:v>
                      </c:pt>
                      <c:pt idx="75">
                        <c:v>0.19898288666451405</c:v>
                      </c:pt>
                      <c:pt idx="76">
                        <c:v>0.20148530836293188</c:v>
                      </c:pt>
                      <c:pt idx="77">
                        <c:v>0.20390700678075557</c:v>
                      </c:pt>
                      <c:pt idx="78">
                        <c:v>0.2064094284791734</c:v>
                      </c:pt>
                      <c:pt idx="79">
                        <c:v>0.20891185017759123</c:v>
                      </c:pt>
                      <c:pt idx="80">
                        <c:v>0.21117210203422668</c:v>
                      </c:pt>
                      <c:pt idx="81">
                        <c:v>0.21367452373264451</c:v>
                      </c:pt>
                      <c:pt idx="82">
                        <c:v>0.2160962221504682</c:v>
                      </c:pt>
                      <c:pt idx="83">
                        <c:v>0.21859864384888603</c:v>
                      </c:pt>
                      <c:pt idx="84">
                        <c:v>0.22102034226670972</c:v>
                      </c:pt>
                      <c:pt idx="85">
                        <c:v>0.22352276396512755</c:v>
                      </c:pt>
                      <c:pt idx="86">
                        <c:v>0.22602518566354537</c:v>
                      </c:pt>
                      <c:pt idx="87">
                        <c:v>0.22844688408136907</c:v>
                      </c:pt>
                      <c:pt idx="88">
                        <c:v>0.2309493057797869</c:v>
                      </c:pt>
                      <c:pt idx="89">
                        <c:v>0.23337100419761059</c:v>
                      </c:pt>
                      <c:pt idx="90">
                        <c:v>0.23587342589602842</c:v>
                      </c:pt>
                      <c:pt idx="91">
                        <c:v>0.23837584759444624</c:v>
                      </c:pt>
                      <c:pt idx="92">
                        <c:v>0.24071682273167583</c:v>
                      </c:pt>
                      <c:pt idx="93">
                        <c:v>0.24321924443009363</c:v>
                      </c:pt>
                      <c:pt idx="94">
                        <c:v>0.24564094284791735</c:v>
                      </c:pt>
                      <c:pt idx="95">
                        <c:v>0.24814336454633518</c:v>
                      </c:pt>
                      <c:pt idx="96">
                        <c:v>0.25056506296415887</c:v>
                      </c:pt>
                      <c:pt idx="97">
                        <c:v>0.25306748466257667</c:v>
                      </c:pt>
                      <c:pt idx="98">
                        <c:v>0.25556990636099453</c:v>
                      </c:pt>
                      <c:pt idx="99">
                        <c:v>0.25799160477881822</c:v>
                      </c:pt>
                      <c:pt idx="100">
                        <c:v>0.26049402647723602</c:v>
                      </c:pt>
                      <c:pt idx="101">
                        <c:v>0.26291572489505971</c:v>
                      </c:pt>
                      <c:pt idx="102">
                        <c:v>0.26541814659347757</c:v>
                      </c:pt>
                      <c:pt idx="103">
                        <c:v>0.26792056829189537</c:v>
                      </c:pt>
                      <c:pt idx="104">
                        <c:v>0.27018082014853084</c:v>
                      </c:pt>
                      <c:pt idx="105">
                        <c:v>0.27268324184694864</c:v>
                      </c:pt>
                      <c:pt idx="106">
                        <c:v>0.27510494026477234</c:v>
                      </c:pt>
                      <c:pt idx="107">
                        <c:v>0.27760736196319019</c:v>
                      </c:pt>
                      <c:pt idx="108">
                        <c:v>0.28002906038101388</c:v>
                      </c:pt>
                      <c:pt idx="109">
                        <c:v>0.28253148207943168</c:v>
                      </c:pt>
                      <c:pt idx="110">
                        <c:v>0.28503390377784954</c:v>
                      </c:pt>
                      <c:pt idx="111">
                        <c:v>0.28745560219567323</c:v>
                      </c:pt>
                      <c:pt idx="112">
                        <c:v>0.28995802389409103</c:v>
                      </c:pt>
                      <c:pt idx="113">
                        <c:v>0.29237972231191478</c:v>
                      </c:pt>
                      <c:pt idx="114">
                        <c:v>0.29488214401033258</c:v>
                      </c:pt>
                      <c:pt idx="115">
                        <c:v>0.29738456570875038</c:v>
                      </c:pt>
                      <c:pt idx="116">
                        <c:v>0.29964481756538586</c:v>
                      </c:pt>
                      <c:pt idx="117">
                        <c:v>0.30214723926380366</c:v>
                      </c:pt>
                      <c:pt idx="118">
                        <c:v>0.30456893768162741</c:v>
                      </c:pt>
                      <c:pt idx="119">
                        <c:v>0.30707135938004521</c:v>
                      </c:pt>
                      <c:pt idx="120">
                        <c:v>0.3094930577978689</c:v>
                      </c:pt>
                      <c:pt idx="121">
                        <c:v>0.31199547949628675</c:v>
                      </c:pt>
                      <c:pt idx="122">
                        <c:v>0.31449790119470455</c:v>
                      </c:pt>
                      <c:pt idx="123">
                        <c:v>0.31691959961252825</c:v>
                      </c:pt>
                      <c:pt idx="124">
                        <c:v>0.3194220213109461</c:v>
                      </c:pt>
                      <c:pt idx="125">
                        <c:v>0.32184371972876979</c:v>
                      </c:pt>
                      <c:pt idx="126">
                        <c:v>0.3243461414271876</c:v>
                      </c:pt>
                      <c:pt idx="127">
                        <c:v>0.32684856312560545</c:v>
                      </c:pt>
                      <c:pt idx="128">
                        <c:v>0.32910881498224087</c:v>
                      </c:pt>
                      <c:pt idx="129">
                        <c:v>0.33161123668065873</c:v>
                      </c:pt>
                      <c:pt idx="130">
                        <c:v>0.33403293509848242</c:v>
                      </c:pt>
                      <c:pt idx="131">
                        <c:v>0.33653535679690022</c:v>
                      </c:pt>
                      <c:pt idx="132">
                        <c:v>0.33895705521472391</c:v>
                      </c:pt>
                      <c:pt idx="133">
                        <c:v>0.34145947691314177</c:v>
                      </c:pt>
                      <c:pt idx="134">
                        <c:v>0.34396189861155957</c:v>
                      </c:pt>
                      <c:pt idx="135">
                        <c:v>0.34638359702938326</c:v>
                      </c:pt>
                      <c:pt idx="136">
                        <c:v>0.34888601872780112</c:v>
                      </c:pt>
                      <c:pt idx="137">
                        <c:v>0.35130771714562481</c:v>
                      </c:pt>
                      <c:pt idx="138">
                        <c:v>0.35381013884404261</c:v>
                      </c:pt>
                      <c:pt idx="139">
                        <c:v>0.35631256054246047</c:v>
                      </c:pt>
                      <c:pt idx="140">
                        <c:v>0.35865353567969005</c:v>
                      </c:pt>
                      <c:pt idx="141">
                        <c:v>0.36115595737810785</c:v>
                      </c:pt>
                      <c:pt idx="142">
                        <c:v>0.36357765579593154</c:v>
                      </c:pt>
                      <c:pt idx="143">
                        <c:v>0.36608007749434934</c:v>
                      </c:pt>
                      <c:pt idx="144">
                        <c:v>0.36850177591217309</c:v>
                      </c:pt>
                      <c:pt idx="145">
                        <c:v>0.37100419761059089</c:v>
                      </c:pt>
                      <c:pt idx="146">
                        <c:v>0.37350661930900869</c:v>
                      </c:pt>
                      <c:pt idx="147">
                        <c:v>0.37592831772683244</c:v>
                      </c:pt>
                      <c:pt idx="148">
                        <c:v>0.37843073942525024</c:v>
                      </c:pt>
                      <c:pt idx="149">
                        <c:v>0.38085243784307393</c:v>
                      </c:pt>
                      <c:pt idx="150">
                        <c:v>0.38335485954149179</c:v>
                      </c:pt>
                      <c:pt idx="151">
                        <c:v>0.38585728123990959</c:v>
                      </c:pt>
                      <c:pt idx="152">
                        <c:v>0.38811753309654506</c:v>
                      </c:pt>
                      <c:pt idx="153">
                        <c:v>0.39061995479496286</c:v>
                      </c:pt>
                      <c:pt idx="154">
                        <c:v>0.39304165321278656</c:v>
                      </c:pt>
                      <c:pt idx="155">
                        <c:v>0.39554407491120441</c:v>
                      </c:pt>
                      <c:pt idx="156">
                        <c:v>0.39796577332902811</c:v>
                      </c:pt>
                      <c:pt idx="157">
                        <c:v>0.40046819502744591</c:v>
                      </c:pt>
                      <c:pt idx="158">
                        <c:v>0.40297061672586376</c:v>
                      </c:pt>
                      <c:pt idx="159">
                        <c:v>0.40539231514368745</c:v>
                      </c:pt>
                      <c:pt idx="160">
                        <c:v>0.40789473684210525</c:v>
                      </c:pt>
                      <c:pt idx="161">
                        <c:v>0.41031643525992895</c:v>
                      </c:pt>
                      <c:pt idx="162">
                        <c:v>0.4128188569583468</c:v>
                      </c:pt>
                      <c:pt idx="163">
                        <c:v>0.4153212786567646</c:v>
                      </c:pt>
                      <c:pt idx="164">
                        <c:v>0.41758153051340008</c:v>
                      </c:pt>
                      <c:pt idx="165">
                        <c:v>0.42008395221181788</c:v>
                      </c:pt>
                      <c:pt idx="166">
                        <c:v>0.42250565062964157</c:v>
                      </c:pt>
                      <c:pt idx="167">
                        <c:v>0.42500807232805943</c:v>
                      </c:pt>
                      <c:pt idx="168">
                        <c:v>0.42742977074588312</c:v>
                      </c:pt>
                      <c:pt idx="169">
                        <c:v>0.42993219244430092</c:v>
                      </c:pt>
                      <c:pt idx="170">
                        <c:v>0.43243461414271878</c:v>
                      </c:pt>
                      <c:pt idx="171">
                        <c:v>0.43485631256054247</c:v>
                      </c:pt>
                      <c:pt idx="172">
                        <c:v>0.43735873425896027</c:v>
                      </c:pt>
                      <c:pt idx="173">
                        <c:v>0.43978043267678396</c:v>
                      </c:pt>
                      <c:pt idx="174">
                        <c:v>0.44228285437520182</c:v>
                      </c:pt>
                      <c:pt idx="175">
                        <c:v>0.44478527607361962</c:v>
                      </c:pt>
                      <c:pt idx="176">
                        <c:v>0.44704552793025509</c:v>
                      </c:pt>
                      <c:pt idx="177">
                        <c:v>0.44954794962867289</c:v>
                      </c:pt>
                      <c:pt idx="178">
                        <c:v>0.45196964804649659</c:v>
                      </c:pt>
                      <c:pt idx="179">
                        <c:v>0.45447206974491444</c:v>
                      </c:pt>
                      <c:pt idx="180">
                        <c:v>0.45689376816273813</c:v>
                      </c:pt>
                      <c:pt idx="181">
                        <c:v>0.45939618986115593</c:v>
                      </c:pt>
                      <c:pt idx="182">
                        <c:v>0.46189861155957379</c:v>
                      </c:pt>
                      <c:pt idx="183">
                        <c:v>0.46432030997739748</c:v>
                      </c:pt>
                      <c:pt idx="184">
                        <c:v>0.46682273167581528</c:v>
                      </c:pt>
                      <c:pt idx="185">
                        <c:v>0.46924443009363903</c:v>
                      </c:pt>
                      <c:pt idx="186">
                        <c:v>0.47174685179205683</c:v>
                      </c:pt>
                      <c:pt idx="187">
                        <c:v>0.47424927349047463</c:v>
                      </c:pt>
                      <c:pt idx="188">
                        <c:v>0.47659024862770422</c:v>
                      </c:pt>
                      <c:pt idx="189">
                        <c:v>0.47909267032612207</c:v>
                      </c:pt>
                      <c:pt idx="190">
                        <c:v>0.48151436874394576</c:v>
                      </c:pt>
                      <c:pt idx="191">
                        <c:v>0.48401679044236356</c:v>
                      </c:pt>
                      <c:pt idx="192">
                        <c:v>0.48643848886018726</c:v>
                      </c:pt>
                      <c:pt idx="193">
                        <c:v>0.48894091055860511</c:v>
                      </c:pt>
                      <c:pt idx="194">
                        <c:v>0.49144333225702291</c:v>
                      </c:pt>
                      <c:pt idx="195">
                        <c:v>0.49386503067484661</c:v>
                      </c:pt>
                      <c:pt idx="196">
                        <c:v>0.49636745237326446</c:v>
                      </c:pt>
                      <c:pt idx="197">
                        <c:v>0.49878915079108815</c:v>
                      </c:pt>
                      <c:pt idx="198">
                        <c:v>0.50129157248950595</c:v>
                      </c:pt>
                      <c:pt idx="199">
                        <c:v>0.50379399418792381</c:v>
                      </c:pt>
                      <c:pt idx="200">
                        <c:v>0.50605424604455929</c:v>
                      </c:pt>
                      <c:pt idx="201">
                        <c:v>0.50855666774297703</c:v>
                      </c:pt>
                      <c:pt idx="202">
                        <c:v>0.51097836616080072</c:v>
                      </c:pt>
                      <c:pt idx="203">
                        <c:v>0.51348078785921858</c:v>
                      </c:pt>
                      <c:pt idx="204">
                        <c:v>0.51590248627704227</c:v>
                      </c:pt>
                      <c:pt idx="205">
                        <c:v>0.51840490797546013</c:v>
                      </c:pt>
                      <c:pt idx="206">
                        <c:v>0.52090732967387798</c:v>
                      </c:pt>
                      <c:pt idx="207">
                        <c:v>0.52332902809170168</c:v>
                      </c:pt>
                      <c:pt idx="208">
                        <c:v>0.52583144979011942</c:v>
                      </c:pt>
                      <c:pt idx="209">
                        <c:v>0.52825314820794322</c:v>
                      </c:pt>
                      <c:pt idx="210">
                        <c:v>0.53075556990636097</c:v>
                      </c:pt>
                      <c:pt idx="211">
                        <c:v>0.53325799160477882</c:v>
                      </c:pt>
                      <c:pt idx="212">
                        <c:v>0.5355182434614143</c:v>
                      </c:pt>
                      <c:pt idx="213">
                        <c:v>0.53802066515983205</c:v>
                      </c:pt>
                      <c:pt idx="214">
                        <c:v>0.54044236357765585</c:v>
                      </c:pt>
                      <c:pt idx="215">
                        <c:v>0.54294478527607359</c:v>
                      </c:pt>
                      <c:pt idx="216">
                        <c:v>0.54536648369389729</c:v>
                      </c:pt>
                      <c:pt idx="217">
                        <c:v>0.54786890539231514</c:v>
                      </c:pt>
                      <c:pt idx="218">
                        <c:v>0.550371327090733</c:v>
                      </c:pt>
                      <c:pt idx="219">
                        <c:v>0.55279302550855669</c:v>
                      </c:pt>
                      <c:pt idx="220">
                        <c:v>0.55529544720697455</c:v>
                      </c:pt>
                      <c:pt idx="221">
                        <c:v>0.55771714562479824</c:v>
                      </c:pt>
                      <c:pt idx="222">
                        <c:v>0.56021956732321598</c:v>
                      </c:pt>
                      <c:pt idx="223">
                        <c:v>0.56272198902163384</c:v>
                      </c:pt>
                      <c:pt idx="224">
                        <c:v>0.56498224087826932</c:v>
                      </c:pt>
                      <c:pt idx="225">
                        <c:v>0.56748466257668717</c:v>
                      </c:pt>
                      <c:pt idx="226">
                        <c:v>0.56990636099451086</c:v>
                      </c:pt>
                      <c:pt idx="227">
                        <c:v>0.57240878269292861</c:v>
                      </c:pt>
                      <c:pt idx="228">
                        <c:v>0.5748304811107523</c:v>
                      </c:pt>
                      <c:pt idx="229">
                        <c:v>0.57733290280917016</c:v>
                      </c:pt>
                      <c:pt idx="230">
                        <c:v>0.57983532450758801</c:v>
                      </c:pt>
                      <c:pt idx="231">
                        <c:v>0.5822570229254117</c:v>
                      </c:pt>
                      <c:pt idx="232">
                        <c:v>0.58475944462382956</c:v>
                      </c:pt>
                      <c:pt idx="233">
                        <c:v>0.58718114304165325</c:v>
                      </c:pt>
                      <c:pt idx="234">
                        <c:v>0.589683564740071</c:v>
                      </c:pt>
                      <c:pt idx="235">
                        <c:v>0.59218598643848885</c:v>
                      </c:pt>
                      <c:pt idx="236">
                        <c:v>0.59452696157571838</c:v>
                      </c:pt>
                      <c:pt idx="237">
                        <c:v>0.59702938327413624</c:v>
                      </c:pt>
                      <c:pt idx="238">
                        <c:v>0.59945108169195993</c:v>
                      </c:pt>
                      <c:pt idx="239">
                        <c:v>0.60195350339037779</c:v>
                      </c:pt>
                      <c:pt idx="240">
                        <c:v>0.60437520180820148</c:v>
                      </c:pt>
                      <c:pt idx="241">
                        <c:v>0.60687762350661933</c:v>
                      </c:pt>
                      <c:pt idx="242">
                        <c:v>0.60938004520503708</c:v>
                      </c:pt>
                      <c:pt idx="243">
                        <c:v>0.61180174362286088</c:v>
                      </c:pt>
                      <c:pt idx="244">
                        <c:v>0.61430416532127863</c:v>
                      </c:pt>
                      <c:pt idx="245">
                        <c:v>0.61672586373910232</c:v>
                      </c:pt>
                      <c:pt idx="246">
                        <c:v>0.61922828543752018</c:v>
                      </c:pt>
                      <c:pt idx="247">
                        <c:v>0.62173070713593803</c:v>
                      </c:pt>
                      <c:pt idx="248">
                        <c:v>0.62399095899257351</c:v>
                      </c:pt>
                      <c:pt idx="249">
                        <c:v>0.62649338069099125</c:v>
                      </c:pt>
                      <c:pt idx="250">
                        <c:v>0.62891507910881495</c:v>
                      </c:pt>
                      <c:pt idx="251">
                        <c:v>0.6314175008072328</c:v>
                      </c:pt>
                      <c:pt idx="252">
                        <c:v>0.63383919922505649</c:v>
                      </c:pt>
                      <c:pt idx="253">
                        <c:v>0.63634162092347435</c:v>
                      </c:pt>
                      <c:pt idx="254">
                        <c:v>0.63884404262189221</c:v>
                      </c:pt>
                      <c:pt idx="255">
                        <c:v>0.6412657410397159</c:v>
                      </c:pt>
                      <c:pt idx="256">
                        <c:v>0.64376816273813364</c:v>
                      </c:pt>
                      <c:pt idx="257">
                        <c:v>0.64618986115595733</c:v>
                      </c:pt>
                      <c:pt idx="258">
                        <c:v>0.64869228285437519</c:v>
                      </c:pt>
                      <c:pt idx="259">
                        <c:v>0.65119470455279305</c:v>
                      </c:pt>
                      <c:pt idx="260">
                        <c:v>0.65345495640942852</c:v>
                      </c:pt>
                      <c:pt idx="261">
                        <c:v>0.65595737810784627</c:v>
                      </c:pt>
                      <c:pt idx="262">
                        <c:v>0.65837907652566996</c:v>
                      </c:pt>
                      <c:pt idx="263">
                        <c:v>0.66088149822408782</c:v>
                      </c:pt>
                      <c:pt idx="264">
                        <c:v>0.66330319664191151</c:v>
                      </c:pt>
                      <c:pt idx="265">
                        <c:v>0.66580561834032936</c:v>
                      </c:pt>
                      <c:pt idx="266">
                        <c:v>0.66830804003874722</c:v>
                      </c:pt>
                      <c:pt idx="267">
                        <c:v>0.67072973845657091</c:v>
                      </c:pt>
                      <c:pt idx="268">
                        <c:v>0.67323216015498866</c:v>
                      </c:pt>
                      <c:pt idx="269">
                        <c:v>0.67565385857281235</c:v>
                      </c:pt>
                      <c:pt idx="270">
                        <c:v>0.67815628027123021</c:v>
                      </c:pt>
                      <c:pt idx="271">
                        <c:v>0.68065870196964806</c:v>
                      </c:pt>
                      <c:pt idx="272">
                        <c:v>0.68291895382628354</c:v>
                      </c:pt>
                      <c:pt idx="273">
                        <c:v>0.68542137552470128</c:v>
                      </c:pt>
                      <c:pt idx="274">
                        <c:v>0.68784307394252497</c:v>
                      </c:pt>
                      <c:pt idx="275">
                        <c:v>0.69034549564094283</c:v>
                      </c:pt>
                      <c:pt idx="276">
                        <c:v>0.69276719405876652</c:v>
                      </c:pt>
                      <c:pt idx="277">
                        <c:v>0.69526961575718438</c:v>
                      </c:pt>
                      <c:pt idx="278">
                        <c:v>0.69777203745560223</c:v>
                      </c:pt>
                      <c:pt idx="279">
                        <c:v>0.70019373587342593</c:v>
                      </c:pt>
                      <c:pt idx="280">
                        <c:v>0.70269615757184367</c:v>
                      </c:pt>
                      <c:pt idx="281">
                        <c:v>0.70511785598966747</c:v>
                      </c:pt>
                      <c:pt idx="282">
                        <c:v>0.70762027768808522</c:v>
                      </c:pt>
                      <c:pt idx="283">
                        <c:v>0.71012269938650308</c:v>
                      </c:pt>
                      <c:pt idx="284">
                        <c:v>0.7124636745237326</c:v>
                      </c:pt>
                      <c:pt idx="285">
                        <c:v>0.71496609622215046</c:v>
                      </c:pt>
                      <c:pt idx="286">
                        <c:v>0.71738779463997415</c:v>
                      </c:pt>
                      <c:pt idx="287">
                        <c:v>0.71989021633839201</c:v>
                      </c:pt>
                      <c:pt idx="288">
                        <c:v>0.7223119147562157</c:v>
                      </c:pt>
                      <c:pt idx="289">
                        <c:v>0.72481433645463356</c:v>
                      </c:pt>
                      <c:pt idx="290">
                        <c:v>0.7273167581530513</c:v>
                      </c:pt>
                      <c:pt idx="291">
                        <c:v>0.72973845657087499</c:v>
                      </c:pt>
                      <c:pt idx="292">
                        <c:v>0.73224087826929285</c:v>
                      </c:pt>
                      <c:pt idx="293">
                        <c:v>0.73466257668711654</c:v>
                      </c:pt>
                      <c:pt idx="294">
                        <c:v>0.7371649983855344</c:v>
                      </c:pt>
                      <c:pt idx="295">
                        <c:v>0.73966742008395225</c:v>
                      </c:pt>
                      <c:pt idx="296">
                        <c:v>0.74192767194058762</c:v>
                      </c:pt>
                      <c:pt idx="297">
                        <c:v>0.74443009363900547</c:v>
                      </c:pt>
                      <c:pt idx="298">
                        <c:v>0.74685179205682917</c:v>
                      </c:pt>
                      <c:pt idx="299">
                        <c:v>0.74935421375524702</c:v>
                      </c:pt>
                      <c:pt idx="300">
                        <c:v>0.75177591217307072</c:v>
                      </c:pt>
                      <c:pt idx="301">
                        <c:v>0.75427833387148857</c:v>
                      </c:pt>
                      <c:pt idx="302">
                        <c:v>0.75678075556990632</c:v>
                      </c:pt>
                      <c:pt idx="303">
                        <c:v>0.75920245398773001</c:v>
                      </c:pt>
                      <c:pt idx="304">
                        <c:v>0.76170487568614786</c:v>
                      </c:pt>
                      <c:pt idx="305">
                        <c:v>0.76412657410397156</c:v>
                      </c:pt>
                      <c:pt idx="306">
                        <c:v>0.76662899580238941</c:v>
                      </c:pt>
                      <c:pt idx="307">
                        <c:v>0.76913141750080727</c:v>
                      </c:pt>
                      <c:pt idx="308">
                        <c:v>0.77139166935744263</c:v>
                      </c:pt>
                      <c:pt idx="309">
                        <c:v>0.77389409105586049</c:v>
                      </c:pt>
                      <c:pt idx="310">
                        <c:v>0.77631578947368418</c:v>
                      </c:pt>
                      <c:pt idx="311">
                        <c:v>0.77881821117210204</c:v>
                      </c:pt>
                      <c:pt idx="312">
                        <c:v>0.78123990958992573</c:v>
                      </c:pt>
                      <c:pt idx="313">
                        <c:v>0.78374233128834359</c:v>
                      </c:pt>
                      <c:pt idx="314">
                        <c:v>0.78624475298676133</c:v>
                      </c:pt>
                      <c:pt idx="315">
                        <c:v>0.78866645140458513</c:v>
                      </c:pt>
                      <c:pt idx="316">
                        <c:v>0.79116887310300288</c:v>
                      </c:pt>
                      <c:pt idx="317">
                        <c:v>0.79359057152082657</c:v>
                      </c:pt>
                      <c:pt idx="318">
                        <c:v>0.79609299321924443</c:v>
                      </c:pt>
                      <c:pt idx="319">
                        <c:v>0.79859541491766228</c:v>
                      </c:pt>
                      <c:pt idx="320">
                        <c:v>0.80085566677429776</c:v>
                      </c:pt>
                      <c:pt idx="321">
                        <c:v>0.8033580884727155</c:v>
                      </c:pt>
                      <c:pt idx="322">
                        <c:v>0.8057797868905392</c:v>
                      </c:pt>
                      <c:pt idx="323">
                        <c:v>0.80828220858895705</c:v>
                      </c:pt>
                      <c:pt idx="324">
                        <c:v>0.81070390700678074</c:v>
                      </c:pt>
                      <c:pt idx="325">
                        <c:v>0.8132063287051986</c:v>
                      </c:pt>
                      <c:pt idx="326">
                        <c:v>0.81570875040361646</c:v>
                      </c:pt>
                      <c:pt idx="327">
                        <c:v>0.81813044882144015</c:v>
                      </c:pt>
                      <c:pt idx="328">
                        <c:v>0.82063287051985789</c:v>
                      </c:pt>
                      <c:pt idx="329">
                        <c:v>0.82305456893768159</c:v>
                      </c:pt>
                      <c:pt idx="330">
                        <c:v>0.82555699063609944</c:v>
                      </c:pt>
                      <c:pt idx="331">
                        <c:v>0.8280594123345173</c:v>
                      </c:pt>
                      <c:pt idx="332">
                        <c:v>0.83040038747174683</c:v>
                      </c:pt>
                      <c:pt idx="333">
                        <c:v>0.83290280917016468</c:v>
                      </c:pt>
                      <c:pt idx="334">
                        <c:v>0.83532450758798837</c:v>
                      </c:pt>
                      <c:pt idx="335">
                        <c:v>0.83782692928640623</c:v>
                      </c:pt>
                      <c:pt idx="336">
                        <c:v>0.84024862770422992</c:v>
                      </c:pt>
                      <c:pt idx="337">
                        <c:v>0.84275104940264778</c:v>
                      </c:pt>
                      <c:pt idx="338">
                        <c:v>0.84525347110106552</c:v>
                      </c:pt>
                      <c:pt idx="339">
                        <c:v>0.84767516951888922</c:v>
                      </c:pt>
                      <c:pt idx="340">
                        <c:v>0.85017759121730707</c:v>
                      </c:pt>
                      <c:pt idx="341">
                        <c:v>0.85259928963513076</c:v>
                      </c:pt>
                      <c:pt idx="342">
                        <c:v>0.85510171133354862</c:v>
                      </c:pt>
                      <c:pt idx="343">
                        <c:v>0.85760413303196636</c:v>
                      </c:pt>
                      <c:pt idx="344">
                        <c:v>0.85986438488860184</c:v>
                      </c:pt>
                      <c:pt idx="345">
                        <c:v>0.8623668065870197</c:v>
                      </c:pt>
                      <c:pt idx="346">
                        <c:v>0.86478850500484339</c:v>
                      </c:pt>
                      <c:pt idx="347">
                        <c:v>0.86729092670326124</c:v>
                      </c:pt>
                      <c:pt idx="348">
                        <c:v>0.86971262512108494</c:v>
                      </c:pt>
                      <c:pt idx="349">
                        <c:v>0.87221504681950279</c:v>
                      </c:pt>
                      <c:pt idx="350">
                        <c:v>0.87471746851792054</c:v>
                      </c:pt>
                      <c:pt idx="351">
                        <c:v>0.87713916693574423</c:v>
                      </c:pt>
                      <c:pt idx="352">
                        <c:v>0.87964158863416209</c:v>
                      </c:pt>
                      <c:pt idx="353">
                        <c:v>0.88206328705198578</c:v>
                      </c:pt>
                      <c:pt idx="354">
                        <c:v>0.88456570875040363</c:v>
                      </c:pt>
                      <c:pt idx="355">
                        <c:v>0.88706813044882149</c:v>
                      </c:pt>
                      <c:pt idx="356">
                        <c:v>0.88932838230545685</c:v>
                      </c:pt>
                      <c:pt idx="357">
                        <c:v>0.89183080400387471</c:v>
                      </c:pt>
                      <c:pt idx="358">
                        <c:v>0.8942525024216984</c:v>
                      </c:pt>
                      <c:pt idx="359">
                        <c:v>0.89675492412011626</c:v>
                      </c:pt>
                      <c:pt idx="360">
                        <c:v>0.89917662253793995</c:v>
                      </c:pt>
                      <c:pt idx="361">
                        <c:v>0.90167904423635781</c:v>
                      </c:pt>
                      <c:pt idx="362">
                        <c:v>0.90418146593477555</c:v>
                      </c:pt>
                      <c:pt idx="363">
                        <c:v>0.90660316435259924</c:v>
                      </c:pt>
                      <c:pt idx="364">
                        <c:v>0.9091055860510171</c:v>
                      </c:pt>
                      <c:pt idx="365">
                        <c:v>0.91152728446884079</c:v>
                      </c:pt>
                      <c:pt idx="366">
                        <c:v>0.91402970616725865</c:v>
                      </c:pt>
                      <c:pt idx="367">
                        <c:v>0.9165321278656765</c:v>
                      </c:pt>
                      <c:pt idx="368">
                        <c:v>0.91879237972231187</c:v>
                      </c:pt>
                      <c:pt idx="369">
                        <c:v>0.92129480142072973</c:v>
                      </c:pt>
                      <c:pt idx="370">
                        <c:v>0.92371649983855342</c:v>
                      </c:pt>
                      <c:pt idx="371">
                        <c:v>0.92621892153697127</c:v>
                      </c:pt>
                      <c:pt idx="372">
                        <c:v>0.92864061995479497</c:v>
                      </c:pt>
                      <c:pt idx="373">
                        <c:v>0.93114304165321282</c:v>
                      </c:pt>
                      <c:pt idx="374">
                        <c:v>0.93364546335163057</c:v>
                      </c:pt>
                      <c:pt idx="375">
                        <c:v>0.93606716176945426</c:v>
                      </c:pt>
                      <c:pt idx="376">
                        <c:v>0.93856958346787212</c:v>
                      </c:pt>
                      <c:pt idx="377">
                        <c:v>0.94099128188569581</c:v>
                      </c:pt>
                      <c:pt idx="378">
                        <c:v>0.94349370358411366</c:v>
                      </c:pt>
                      <c:pt idx="379">
                        <c:v>0.94599612528253152</c:v>
                      </c:pt>
                      <c:pt idx="380">
                        <c:v>0.94833710041976105</c:v>
                      </c:pt>
                      <c:pt idx="381">
                        <c:v>0.9508395221181789</c:v>
                      </c:pt>
                      <c:pt idx="382">
                        <c:v>0.9532612205360026</c:v>
                      </c:pt>
                      <c:pt idx="383">
                        <c:v>0.95576364223442045</c:v>
                      </c:pt>
                      <c:pt idx="384">
                        <c:v>0.95818534065224414</c:v>
                      </c:pt>
                      <c:pt idx="385">
                        <c:v>0.96068776235066189</c:v>
                      </c:pt>
                      <c:pt idx="386">
                        <c:v>0.96319018404907975</c:v>
                      </c:pt>
                      <c:pt idx="387">
                        <c:v>0.96561188246690344</c:v>
                      </c:pt>
                      <c:pt idx="388">
                        <c:v>0.96811430416532129</c:v>
                      </c:pt>
                      <c:pt idx="389">
                        <c:v>0.97053600258314499</c:v>
                      </c:pt>
                      <c:pt idx="390">
                        <c:v>0.97303842428156284</c:v>
                      </c:pt>
                      <c:pt idx="391">
                        <c:v>0.97554084597998059</c:v>
                      </c:pt>
                      <c:pt idx="392">
                        <c:v>0.97780109783661606</c:v>
                      </c:pt>
                      <c:pt idx="393">
                        <c:v>0.98030351953503392</c:v>
                      </c:pt>
                      <c:pt idx="394">
                        <c:v>0.98272521795285761</c:v>
                      </c:pt>
                      <c:pt idx="395">
                        <c:v>0.98522763965127547</c:v>
                      </c:pt>
                      <c:pt idx="396">
                        <c:v>0.98764933806909916</c:v>
                      </c:pt>
                      <c:pt idx="397">
                        <c:v>0.9901517597675169</c:v>
                      </c:pt>
                      <c:pt idx="398">
                        <c:v>0.99265418146593476</c:v>
                      </c:pt>
                      <c:pt idx="399">
                        <c:v>0.99507587988375845</c:v>
                      </c:pt>
                      <c:pt idx="400">
                        <c:v>0.99757830158217631</c:v>
                      </c:pt>
                      <c:pt idx="401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542-4FC2-A1E6-C379A5B1ABBB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FinalData!$B$1</c15:sqref>
                        </c15:formulaRef>
                      </c:ext>
                    </c:extLst>
                    <c:strCache>
                      <c:ptCount val="1"/>
                      <c:pt idx="0">
                        <c:v>Lag6</c:v>
                      </c:pt>
                    </c:strCache>
                  </c:strRef>
                </c:tx>
                <c:spPr>
                  <a:ln w="317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FinalData!$J$2:$J$403</c15:sqref>
                        </c15:formulaRef>
                      </c:ext>
                    </c:extLst>
                    <c:numCache>
                      <c:formatCode>m/d/yyyy</c:formatCode>
                      <c:ptCount val="402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  <c:pt idx="396">
                        <c:v>45658</c:v>
                      </c:pt>
                      <c:pt idx="397">
                        <c:v>45689</c:v>
                      </c:pt>
                      <c:pt idx="398">
                        <c:v>45717</c:v>
                      </c:pt>
                      <c:pt idx="399">
                        <c:v>45748</c:v>
                      </c:pt>
                      <c:pt idx="400">
                        <c:v>45778</c:v>
                      </c:pt>
                      <c:pt idx="401">
                        <c:v>45809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FinalData!$B$2:$B$403</c15:sqref>
                        </c15:formulaRef>
                      </c:ext>
                    </c:extLst>
                    <c:numCache>
                      <c:formatCode>General</c:formatCode>
                      <c:ptCount val="402"/>
                      <c:pt idx="0">
                        <c:v>6.0696117478451861E-4</c:v>
                      </c:pt>
                      <c:pt idx="1">
                        <c:v>9.4190630468232988E-4</c:v>
                      </c:pt>
                      <c:pt idx="2">
                        <c:v>0</c:v>
                      </c:pt>
                      <c:pt idx="3">
                        <c:v>3.1241245752286761E-3</c:v>
                      </c:pt>
                      <c:pt idx="4">
                        <c:v>4.3015074560815887E-3</c:v>
                      </c:pt>
                      <c:pt idx="5">
                        <c:v>6.4004969367745393E-3</c:v>
                      </c:pt>
                      <c:pt idx="6">
                        <c:v>9.3845535485914035E-3</c:v>
                      </c:pt>
                      <c:pt idx="7">
                        <c:v>8.0183834127051795E-3</c:v>
                      </c:pt>
                      <c:pt idx="8">
                        <c:v>1.1798188454339874E-2</c:v>
                      </c:pt>
                      <c:pt idx="9">
                        <c:v>1.4668566719039905E-2</c:v>
                      </c:pt>
                      <c:pt idx="10">
                        <c:v>1.4232123064930637E-2</c:v>
                      </c:pt>
                      <c:pt idx="11">
                        <c:v>1.7169490355610228E-2</c:v>
                      </c:pt>
                      <c:pt idx="12">
                        <c:v>2.0723968673495487E-2</c:v>
                      </c:pt>
                      <c:pt idx="13">
                        <c:v>1.953237599925297E-2</c:v>
                      </c:pt>
                      <c:pt idx="14">
                        <c:v>1.7061901919946085E-2</c:v>
                      </c:pt>
                      <c:pt idx="15">
                        <c:v>2.5577628101287407E-2</c:v>
                      </c:pt>
                      <c:pt idx="16">
                        <c:v>2.7236113986902632E-2</c:v>
                      </c:pt>
                      <c:pt idx="17">
                        <c:v>2.6862599417804466E-2</c:v>
                      </c:pt>
                      <c:pt idx="18">
                        <c:v>3.2777933408848235E-2</c:v>
                      </c:pt>
                      <c:pt idx="19">
                        <c:v>3.1068698261127282E-2</c:v>
                      </c:pt>
                      <c:pt idx="20">
                        <c:v>3.3321965498621653E-2</c:v>
                      </c:pt>
                      <c:pt idx="21">
                        <c:v>3.5835068958097349E-2</c:v>
                      </c:pt>
                      <c:pt idx="22">
                        <c:v>4.0363933108412603E-2</c:v>
                      </c:pt>
                      <c:pt idx="23">
                        <c:v>4.2909516095635966E-2</c:v>
                      </c:pt>
                      <c:pt idx="24">
                        <c:v>4.1104872335156244E-2</c:v>
                      </c:pt>
                      <c:pt idx="25">
                        <c:v>4.659797246548035E-2</c:v>
                      </c:pt>
                      <c:pt idx="26">
                        <c:v>5.3205526391646267E-2</c:v>
                      </c:pt>
                      <c:pt idx="27">
                        <c:v>5.3067488398718686E-2</c:v>
                      </c:pt>
                      <c:pt idx="28">
                        <c:v>5.1342013487123896E-2</c:v>
                      </c:pt>
                      <c:pt idx="29">
                        <c:v>5.5249706669265028E-2</c:v>
                      </c:pt>
                      <c:pt idx="30">
                        <c:v>5.5609011444973593E-2</c:v>
                      </c:pt>
                      <c:pt idx="31">
                        <c:v>6.1329468269531361E-2</c:v>
                      </c:pt>
                      <c:pt idx="32">
                        <c:v>6.4751998505941724E-2</c:v>
                      </c:pt>
                      <c:pt idx="33">
                        <c:v>6.737269040108157E-2</c:v>
                      </c:pt>
                      <c:pt idx="34">
                        <c:v>6.8290237059953143E-2</c:v>
                      </c:pt>
                      <c:pt idx="35">
                        <c:v>6.9116435047034422E-2</c:v>
                      </c:pt>
                      <c:pt idx="36">
                        <c:v>7.1081446475768237E-2</c:v>
                      </c:pt>
                      <c:pt idx="37">
                        <c:v>6.5852242508393929E-2</c:v>
                      </c:pt>
                      <c:pt idx="38">
                        <c:v>6.9538668907754078E-2</c:v>
                      </c:pt>
                      <c:pt idx="39">
                        <c:v>6.9491979586616806E-2</c:v>
                      </c:pt>
                      <c:pt idx="40">
                        <c:v>7.490591086805598E-2</c:v>
                      </c:pt>
                      <c:pt idx="41">
                        <c:v>7.9700701151805248E-2</c:v>
                      </c:pt>
                      <c:pt idx="42">
                        <c:v>7.6933851381800908E-2</c:v>
                      </c:pt>
                      <c:pt idx="43">
                        <c:v>8.0522839197918056E-2</c:v>
                      </c:pt>
                      <c:pt idx="44">
                        <c:v>8.1105440726891825E-2</c:v>
                      </c:pt>
                      <c:pt idx="45">
                        <c:v>7.9759570295847904E-2</c:v>
                      </c:pt>
                      <c:pt idx="46">
                        <c:v>8.567896422786013E-2</c:v>
                      </c:pt>
                      <c:pt idx="47">
                        <c:v>8.6722369056753915E-2</c:v>
                      </c:pt>
                      <c:pt idx="48">
                        <c:v>8.6306225107486936E-2</c:v>
                      </c:pt>
                      <c:pt idx="49">
                        <c:v>9.227433833112067E-2</c:v>
                      </c:pt>
                      <c:pt idx="50">
                        <c:v>9.3616148821196135E-2</c:v>
                      </c:pt>
                      <c:pt idx="51">
                        <c:v>9.6744333337393268E-2</c:v>
                      </c:pt>
                      <c:pt idx="52">
                        <c:v>0.10032926121254197</c:v>
                      </c:pt>
                      <c:pt idx="53">
                        <c:v>9.7113787965522988E-2</c:v>
                      </c:pt>
                      <c:pt idx="54">
                        <c:v>9.9454343933839201E-2</c:v>
                      </c:pt>
                      <c:pt idx="55">
                        <c:v>9.9507123166429165E-2</c:v>
                      </c:pt>
                      <c:pt idx="56">
                        <c:v>0.10389997929430106</c:v>
                      </c:pt>
                      <c:pt idx="57">
                        <c:v>0.10819742680941419</c:v>
                      </c:pt>
                      <c:pt idx="58">
                        <c:v>0.10706064333824586</c:v>
                      </c:pt>
                      <c:pt idx="59">
                        <c:v>0.10799036982002282</c:v>
                      </c:pt>
                      <c:pt idx="60">
                        <c:v>0.1123121769809467</c:v>
                      </c:pt>
                      <c:pt idx="61">
                        <c:v>0.11524345436017361</c:v>
                      </c:pt>
                      <c:pt idx="62">
                        <c:v>0.11820924123763241</c:v>
                      </c:pt>
                      <c:pt idx="63">
                        <c:v>0.11183513391715284</c:v>
                      </c:pt>
                      <c:pt idx="64">
                        <c:v>0.11127689203398983</c:v>
                      </c:pt>
                      <c:pt idx="65">
                        <c:v>0.11609604196354985</c:v>
                      </c:pt>
                      <c:pt idx="66">
                        <c:v>0.12104916994506899</c:v>
                      </c:pt>
                      <c:pt idx="67">
                        <c:v>0.1213353957833453</c:v>
                      </c:pt>
                      <c:pt idx="68">
                        <c:v>0.12356836331599738</c:v>
                      </c:pt>
                      <c:pt idx="69">
                        <c:v>0.12369625145650383</c:v>
                      </c:pt>
                      <c:pt idx="70">
                        <c:v>0.12313394963237234</c:v>
                      </c:pt>
                      <c:pt idx="71">
                        <c:v>0.12528368837517104</c:v>
                      </c:pt>
                      <c:pt idx="72">
                        <c:v>0.12663970865863611</c:v>
                      </c:pt>
                      <c:pt idx="73">
                        <c:v>0.12603477745433581</c:v>
                      </c:pt>
                      <c:pt idx="74">
                        <c:v>0.12827586486892481</c:v>
                      </c:pt>
                      <c:pt idx="75">
                        <c:v>0.13512092534174552</c:v>
                      </c:pt>
                      <c:pt idx="76">
                        <c:v>0.13609937111514397</c:v>
                      </c:pt>
                      <c:pt idx="77">
                        <c:v>0.14027502040120338</c:v>
                      </c:pt>
                      <c:pt idx="78">
                        <c:v>0.13710014656386896</c:v>
                      </c:pt>
                      <c:pt idx="79">
                        <c:v>0.13320057326366475</c:v>
                      </c:pt>
                      <c:pt idx="80">
                        <c:v>0.13802175316370899</c:v>
                      </c:pt>
                      <c:pt idx="81">
                        <c:v>0.14549610448664077</c:v>
                      </c:pt>
                      <c:pt idx="82">
                        <c:v>0.14833806316456158</c:v>
                      </c:pt>
                      <c:pt idx="83">
                        <c:v>0.1528080581708342</c:v>
                      </c:pt>
                      <c:pt idx="84">
                        <c:v>0.15389206240941256</c:v>
                      </c:pt>
                      <c:pt idx="85">
                        <c:v>0.15965514861413915</c:v>
                      </c:pt>
                      <c:pt idx="86">
                        <c:v>0.16255800640658685</c:v>
                      </c:pt>
                      <c:pt idx="87">
                        <c:v>0.16588309805975421</c:v>
                      </c:pt>
                      <c:pt idx="88">
                        <c:v>0.16941524670231295</c:v>
                      </c:pt>
                      <c:pt idx="89">
                        <c:v>0.17123613022666651</c:v>
                      </c:pt>
                      <c:pt idx="90">
                        <c:v>0.17519457267091337</c:v>
                      </c:pt>
                      <c:pt idx="91">
                        <c:v>0.18022483953083321</c:v>
                      </c:pt>
                      <c:pt idx="92">
                        <c:v>0.18227510971990468</c:v>
                      </c:pt>
                      <c:pt idx="93">
                        <c:v>0.18093938914128188</c:v>
                      </c:pt>
                      <c:pt idx="94">
                        <c:v>0.18737642554677256</c:v>
                      </c:pt>
                      <c:pt idx="95">
                        <c:v>0.19785919312733194</c:v>
                      </c:pt>
                      <c:pt idx="96">
                        <c:v>0.1937018135756306</c:v>
                      </c:pt>
                      <c:pt idx="97">
                        <c:v>0.20182169551254725</c:v>
                      </c:pt>
                      <c:pt idx="98">
                        <c:v>0.2078953672013609</c:v>
                      </c:pt>
                      <c:pt idx="99">
                        <c:v>0.19778408421941546</c:v>
                      </c:pt>
                      <c:pt idx="100">
                        <c:v>0.2018318453649684</c:v>
                      </c:pt>
                      <c:pt idx="101">
                        <c:v>0.20524219577847339</c:v>
                      </c:pt>
                      <c:pt idx="102">
                        <c:v>0.20068085210041045</c:v>
                      </c:pt>
                      <c:pt idx="103">
                        <c:v>0.2033989825787933</c:v>
                      </c:pt>
                      <c:pt idx="104">
                        <c:v>0.20989894806929507</c:v>
                      </c:pt>
                      <c:pt idx="105">
                        <c:v>0.20965332164070336</c:v>
                      </c:pt>
                      <c:pt idx="106">
                        <c:v>0.20650077747869547</c:v>
                      </c:pt>
                      <c:pt idx="107">
                        <c:v>0.206496717537727</c:v>
                      </c:pt>
                      <c:pt idx="108">
                        <c:v>0.21359146438010793</c:v>
                      </c:pt>
                      <c:pt idx="109">
                        <c:v>0.21348996585589647</c:v>
                      </c:pt>
                      <c:pt idx="110">
                        <c:v>0.20785679776216054</c:v>
                      </c:pt>
                      <c:pt idx="111">
                        <c:v>0.21719263201913044</c:v>
                      </c:pt>
                      <c:pt idx="112">
                        <c:v>0.21950070845969899</c:v>
                      </c:pt>
                      <c:pt idx="113">
                        <c:v>0.21663033019499897</c:v>
                      </c:pt>
                      <c:pt idx="114">
                        <c:v>0.21358537446865522</c:v>
                      </c:pt>
                      <c:pt idx="115">
                        <c:v>0.21816092794010775</c:v>
                      </c:pt>
                      <c:pt idx="116">
                        <c:v>0.20504731861198738</c:v>
                      </c:pt>
                      <c:pt idx="117">
                        <c:v>0.24510269620679714</c:v>
                      </c:pt>
                      <c:pt idx="118">
                        <c:v>0.22728361529623359</c:v>
                      </c:pt>
                      <c:pt idx="119">
                        <c:v>0.21874758941004999</c:v>
                      </c:pt>
                      <c:pt idx="120">
                        <c:v>0.2202172880406319</c:v>
                      </c:pt>
                      <c:pt idx="121">
                        <c:v>0.22361951857219997</c:v>
                      </c:pt>
                      <c:pt idx="122">
                        <c:v>0.22212343032532306</c:v>
                      </c:pt>
                      <c:pt idx="123">
                        <c:v>0.22821537174849477</c:v>
                      </c:pt>
                      <c:pt idx="124">
                        <c:v>0.22384484529594939</c:v>
                      </c:pt>
                      <c:pt idx="125">
                        <c:v>0.22640666804704659</c:v>
                      </c:pt>
                      <c:pt idx="126">
                        <c:v>0.2338911692223995</c:v>
                      </c:pt>
                      <c:pt idx="127">
                        <c:v>0.23736444872091561</c:v>
                      </c:pt>
                      <c:pt idx="128">
                        <c:v>0.22727752538478091</c:v>
                      </c:pt>
                      <c:pt idx="129">
                        <c:v>0.23143896487745069</c:v>
                      </c:pt>
                      <c:pt idx="130">
                        <c:v>0.23188352841349688</c:v>
                      </c:pt>
                      <c:pt idx="131">
                        <c:v>0.23768112411645534</c:v>
                      </c:pt>
                      <c:pt idx="132">
                        <c:v>0.24212269953594875</c:v>
                      </c:pt>
                      <c:pt idx="133">
                        <c:v>0.2342809235553715</c:v>
                      </c:pt>
                      <c:pt idx="134">
                        <c:v>0.24044188397500701</c:v>
                      </c:pt>
                      <c:pt idx="135">
                        <c:v>0.2420841300967484</c:v>
                      </c:pt>
                      <c:pt idx="136">
                        <c:v>0.24211863959498028</c:v>
                      </c:pt>
                      <c:pt idx="137">
                        <c:v>0.25011469333235897</c:v>
                      </c:pt>
                      <c:pt idx="138">
                        <c:v>0.25488918391126592</c:v>
                      </c:pt>
                      <c:pt idx="139">
                        <c:v>0.26083496745957313</c:v>
                      </c:pt>
                      <c:pt idx="140">
                        <c:v>0.26002297926588147</c:v>
                      </c:pt>
                      <c:pt idx="141">
                        <c:v>0.25768445326804951</c:v>
                      </c:pt>
                      <c:pt idx="142">
                        <c:v>0.25991945077118578</c:v>
                      </c:pt>
                      <c:pt idx="143">
                        <c:v>0.26273907977378008</c:v>
                      </c:pt>
                      <c:pt idx="144">
                        <c:v>0.26459650276684976</c:v>
                      </c:pt>
                      <c:pt idx="145">
                        <c:v>0.26844329683446405</c:v>
                      </c:pt>
                      <c:pt idx="146">
                        <c:v>0.2792670994563739</c:v>
                      </c:pt>
                      <c:pt idx="147">
                        <c:v>0.27507115046547226</c:v>
                      </c:pt>
                      <c:pt idx="148">
                        <c:v>0.28249272255581404</c:v>
                      </c:pt>
                      <c:pt idx="149">
                        <c:v>0.27814858571956363</c:v>
                      </c:pt>
                      <c:pt idx="150">
                        <c:v>0.28263279051922585</c:v>
                      </c:pt>
                      <c:pt idx="151">
                        <c:v>0.28193448067265103</c:v>
                      </c:pt>
                      <c:pt idx="152">
                        <c:v>0.29383010771023388</c:v>
                      </c:pt>
                      <c:pt idx="153">
                        <c:v>0.29552310309408103</c:v>
                      </c:pt>
                      <c:pt idx="154">
                        <c:v>0.29954041468237053</c:v>
                      </c:pt>
                      <c:pt idx="155">
                        <c:v>0.30709596482467144</c:v>
                      </c:pt>
                      <c:pt idx="156">
                        <c:v>0.30041736193155749</c:v>
                      </c:pt>
                      <c:pt idx="157">
                        <c:v>0.30772322570429828</c:v>
                      </c:pt>
                      <c:pt idx="158">
                        <c:v>0.30982018521450699</c:v>
                      </c:pt>
                      <c:pt idx="159">
                        <c:v>0.31471241408149925</c:v>
                      </c:pt>
                      <c:pt idx="160">
                        <c:v>0.31097929836100185</c:v>
                      </c:pt>
                      <c:pt idx="161">
                        <c:v>0.33081008002143647</c:v>
                      </c:pt>
                      <c:pt idx="162">
                        <c:v>0.33535112399465711</c:v>
                      </c:pt>
                      <c:pt idx="163">
                        <c:v>0.32702012512738066</c:v>
                      </c:pt>
                      <c:pt idx="164">
                        <c:v>0.32899122646756718</c:v>
                      </c:pt>
                      <c:pt idx="165">
                        <c:v>0.32858929231168976</c:v>
                      </c:pt>
                      <c:pt idx="166">
                        <c:v>0.33382052624954833</c:v>
                      </c:pt>
                      <c:pt idx="167">
                        <c:v>0.3341392316155723</c:v>
                      </c:pt>
                      <c:pt idx="168">
                        <c:v>0.35209026060761078</c:v>
                      </c:pt>
                      <c:pt idx="169">
                        <c:v>0.34777454335813957</c:v>
                      </c:pt>
                      <c:pt idx="170">
                        <c:v>0.34986744292737981</c:v>
                      </c:pt>
                      <c:pt idx="171">
                        <c:v>0.35316208502328378</c:v>
                      </c:pt>
                      <c:pt idx="172">
                        <c:v>0.35077686970431449</c:v>
                      </c:pt>
                      <c:pt idx="173">
                        <c:v>0.35495657893134236</c:v>
                      </c:pt>
                      <c:pt idx="174">
                        <c:v>0.35699872923847686</c:v>
                      </c:pt>
                      <c:pt idx="175">
                        <c:v>0.35865924509457631</c:v>
                      </c:pt>
                      <c:pt idx="176">
                        <c:v>0.35378325599145788</c:v>
                      </c:pt>
                      <c:pt idx="177">
                        <c:v>0.35326561351797947</c:v>
                      </c:pt>
                      <c:pt idx="178">
                        <c:v>0.35525092465155556</c:v>
                      </c:pt>
                      <c:pt idx="179">
                        <c:v>0.36172450052576238</c:v>
                      </c:pt>
                      <c:pt idx="180">
                        <c:v>0.36171029073237276</c:v>
                      </c:pt>
                      <c:pt idx="181">
                        <c:v>0.36400212740906746</c:v>
                      </c:pt>
                      <c:pt idx="182">
                        <c:v>0.3686182802902046</c:v>
                      </c:pt>
                      <c:pt idx="183">
                        <c:v>0.36693340478829439</c:v>
                      </c:pt>
                      <c:pt idx="184">
                        <c:v>0.37584091527309194</c:v>
                      </c:pt>
                      <c:pt idx="185">
                        <c:v>0.3693653094284009</c:v>
                      </c:pt>
                      <c:pt idx="186">
                        <c:v>0.37216463872615291</c:v>
                      </c:pt>
                      <c:pt idx="187">
                        <c:v>0.3762022500192847</c:v>
                      </c:pt>
                      <c:pt idx="188">
                        <c:v>0.37868693389198121</c:v>
                      </c:pt>
                      <c:pt idx="189">
                        <c:v>0.38249515852039512</c:v>
                      </c:pt>
                      <c:pt idx="190">
                        <c:v>0.38955336589405992</c:v>
                      </c:pt>
                      <c:pt idx="191">
                        <c:v>0.37988664644816067</c:v>
                      </c:pt>
                      <c:pt idx="192">
                        <c:v>0.38236118046843598</c:v>
                      </c:pt>
                      <c:pt idx="193">
                        <c:v>0.3770649874750821</c:v>
                      </c:pt>
                      <c:pt idx="194">
                        <c:v>0.37833168905724113</c:v>
                      </c:pt>
                      <c:pt idx="195">
                        <c:v>0.37740602251643263</c:v>
                      </c:pt>
                      <c:pt idx="196">
                        <c:v>0.38359946246381577</c:v>
                      </c:pt>
                      <c:pt idx="197">
                        <c:v>0.38497172251115469</c:v>
                      </c:pt>
                      <c:pt idx="198">
                        <c:v>0.38200187569272742</c:v>
                      </c:pt>
                      <c:pt idx="199">
                        <c:v>0.37590181438761883</c:v>
                      </c:pt>
                      <c:pt idx="200">
                        <c:v>0.3642741434539542</c:v>
                      </c:pt>
                      <c:pt idx="201">
                        <c:v>0.33869651535266676</c:v>
                      </c:pt>
                      <c:pt idx="202">
                        <c:v>0.31114575594070865</c:v>
                      </c:pt>
                      <c:pt idx="203">
                        <c:v>0.29526123690161543</c:v>
                      </c:pt>
                      <c:pt idx="204">
                        <c:v>0.30516343292368531</c:v>
                      </c:pt>
                      <c:pt idx="205">
                        <c:v>0.30309286302977156</c:v>
                      </c:pt>
                      <c:pt idx="206">
                        <c:v>0.29211681262154449</c:v>
                      </c:pt>
                      <c:pt idx="207">
                        <c:v>0.29517800811176204</c:v>
                      </c:pt>
                      <c:pt idx="208">
                        <c:v>0.30062847886191735</c:v>
                      </c:pt>
                      <c:pt idx="209">
                        <c:v>0.31127161411073084</c:v>
                      </c:pt>
                      <c:pt idx="210">
                        <c:v>0.31425567072254768</c:v>
                      </c:pt>
                      <c:pt idx="211">
                        <c:v>0.32631978531032158</c:v>
                      </c:pt>
                      <c:pt idx="212">
                        <c:v>0.3092233738921436</c:v>
                      </c:pt>
                      <c:pt idx="213">
                        <c:v>0.31656780710408472</c:v>
                      </c:pt>
                      <c:pt idx="214">
                        <c:v>0.32167521284240524</c:v>
                      </c:pt>
                      <c:pt idx="215">
                        <c:v>0.32446845222870457</c:v>
                      </c:pt>
                      <c:pt idx="216">
                        <c:v>0.32521142142593246</c:v>
                      </c:pt>
                      <c:pt idx="217">
                        <c:v>0.32518097186866901</c:v>
                      </c:pt>
                      <c:pt idx="218">
                        <c:v>0.33982720891238244</c:v>
                      </c:pt>
                      <c:pt idx="219">
                        <c:v>0.34514167164009435</c:v>
                      </c:pt>
                      <c:pt idx="220">
                        <c:v>0.33908220974467029</c:v>
                      </c:pt>
                      <c:pt idx="221">
                        <c:v>0.3379251265686597</c:v>
                      </c:pt>
                      <c:pt idx="222">
                        <c:v>0.33986374838109856</c:v>
                      </c:pt>
                      <c:pt idx="223">
                        <c:v>0.34233625243088966</c:v>
                      </c:pt>
                      <c:pt idx="224">
                        <c:v>0.34847488317519865</c:v>
                      </c:pt>
                      <c:pt idx="225">
                        <c:v>0.35642018765047156</c:v>
                      </c:pt>
                      <c:pt idx="226">
                        <c:v>0.36250197922122213</c:v>
                      </c:pt>
                      <c:pt idx="227">
                        <c:v>0.36803567876123083</c:v>
                      </c:pt>
                      <c:pt idx="228">
                        <c:v>0.37260920226219912</c:v>
                      </c:pt>
                      <c:pt idx="229">
                        <c:v>0.37743038216224334</c:v>
                      </c:pt>
                      <c:pt idx="230">
                        <c:v>0.38374765030916452</c:v>
                      </c:pt>
                      <c:pt idx="231">
                        <c:v>0.38786443045118124</c:v>
                      </c:pt>
                      <c:pt idx="232">
                        <c:v>0.38628105347348252</c:v>
                      </c:pt>
                      <c:pt idx="233">
                        <c:v>0.39175994381041701</c:v>
                      </c:pt>
                      <c:pt idx="234">
                        <c:v>0.39138236930035036</c:v>
                      </c:pt>
                      <c:pt idx="235">
                        <c:v>0.39187159218704959</c:v>
                      </c:pt>
                      <c:pt idx="236">
                        <c:v>0.39968291861036342</c:v>
                      </c:pt>
                      <c:pt idx="237">
                        <c:v>0.40383826819158047</c:v>
                      </c:pt>
                      <c:pt idx="238">
                        <c:v>0.40618491407134938</c:v>
                      </c:pt>
                      <c:pt idx="239">
                        <c:v>0.40796925812698681</c:v>
                      </c:pt>
                      <c:pt idx="240">
                        <c:v>0.41317207247806614</c:v>
                      </c:pt>
                      <c:pt idx="241">
                        <c:v>0.42269060407861669</c:v>
                      </c:pt>
                      <c:pt idx="242">
                        <c:v>0.42553865266799018</c:v>
                      </c:pt>
                      <c:pt idx="243">
                        <c:v>0.42142593246694193</c:v>
                      </c:pt>
                      <c:pt idx="244">
                        <c:v>0.42009021188831913</c:v>
                      </c:pt>
                      <c:pt idx="245">
                        <c:v>0.41252857183456554</c:v>
                      </c:pt>
                      <c:pt idx="246">
                        <c:v>0.4157704346978795</c:v>
                      </c:pt>
                      <c:pt idx="247">
                        <c:v>0.42560767166445401</c:v>
                      </c:pt>
                      <c:pt idx="248">
                        <c:v>0.43127737922690607</c:v>
                      </c:pt>
                      <c:pt idx="249">
                        <c:v>0.43162653415019347</c:v>
                      </c:pt>
                      <c:pt idx="250">
                        <c:v>0.43449082250344079</c:v>
                      </c:pt>
                      <c:pt idx="251">
                        <c:v>0.43725361233247667</c:v>
                      </c:pt>
                      <c:pt idx="252">
                        <c:v>0.44281167151829615</c:v>
                      </c:pt>
                      <c:pt idx="253">
                        <c:v>0.45290062482491505</c:v>
                      </c:pt>
                      <c:pt idx="254">
                        <c:v>0.44665034570397344</c:v>
                      </c:pt>
                      <c:pt idx="255">
                        <c:v>0.44330292437547958</c:v>
                      </c:pt>
                      <c:pt idx="256">
                        <c:v>0.44805914522002849</c:v>
                      </c:pt>
                      <c:pt idx="257">
                        <c:v>0.45077727569841136</c:v>
                      </c:pt>
                      <c:pt idx="258">
                        <c:v>0.45496307483689186</c:v>
                      </c:pt>
                      <c:pt idx="259">
                        <c:v>0.45354209549793145</c:v>
                      </c:pt>
                      <c:pt idx="260">
                        <c:v>0.45379584180846011</c:v>
                      </c:pt>
                      <c:pt idx="261">
                        <c:v>0.45537109890422195</c:v>
                      </c:pt>
                      <c:pt idx="262">
                        <c:v>0.45623180638953509</c:v>
                      </c:pt>
                      <c:pt idx="263">
                        <c:v>0.46157265873354203</c:v>
                      </c:pt>
                      <c:pt idx="264">
                        <c:v>0.45585829182043691</c:v>
                      </c:pt>
                      <c:pt idx="265">
                        <c:v>0.46529968454258674</c:v>
                      </c:pt>
                      <c:pt idx="266">
                        <c:v>0.47331806795529191</c:v>
                      </c:pt>
                      <c:pt idx="267">
                        <c:v>0.48173635555339023</c:v>
                      </c:pt>
                      <c:pt idx="268">
                        <c:v>0.48245699507529161</c:v>
                      </c:pt>
                      <c:pt idx="269">
                        <c:v>0.48414390054768602</c:v>
                      </c:pt>
                      <c:pt idx="270">
                        <c:v>0.4850106979444519</c:v>
                      </c:pt>
                      <c:pt idx="271">
                        <c:v>0.49104377022358092</c:v>
                      </c:pt>
                      <c:pt idx="272">
                        <c:v>0.48751162158102224</c:v>
                      </c:pt>
                      <c:pt idx="273">
                        <c:v>0.48963497070752593</c:v>
                      </c:pt>
                      <c:pt idx="274">
                        <c:v>0.49194101717761024</c:v>
                      </c:pt>
                      <c:pt idx="275">
                        <c:v>0.48427381865867669</c:v>
                      </c:pt>
                      <c:pt idx="276">
                        <c:v>0.47988096253080481</c:v>
                      </c:pt>
                      <c:pt idx="277">
                        <c:v>0.47800526980337704</c:v>
                      </c:pt>
                      <c:pt idx="278">
                        <c:v>0.49036170014087993</c:v>
                      </c:pt>
                      <c:pt idx="279">
                        <c:v>0.49079205388353653</c:v>
                      </c:pt>
                      <c:pt idx="280">
                        <c:v>0.49741381760309206</c:v>
                      </c:pt>
                      <c:pt idx="281">
                        <c:v>0.49750313630439813</c:v>
                      </c:pt>
                      <c:pt idx="282">
                        <c:v>0.50512364550219435</c:v>
                      </c:pt>
                      <c:pt idx="283">
                        <c:v>0.50434616680673461</c:v>
                      </c:pt>
                      <c:pt idx="284">
                        <c:v>0.50024765639907598</c:v>
                      </c:pt>
                      <c:pt idx="285">
                        <c:v>0.49723315022999565</c:v>
                      </c:pt>
                      <c:pt idx="286">
                        <c:v>0.50020502701890712</c:v>
                      </c:pt>
                      <c:pt idx="287">
                        <c:v>0.50227762688330513</c:v>
                      </c:pt>
                      <c:pt idx="288">
                        <c:v>0.49807964792191922</c:v>
                      </c:pt>
                      <c:pt idx="289">
                        <c:v>0.50324795277476664</c:v>
                      </c:pt>
                      <c:pt idx="290">
                        <c:v>0.50115505320552645</c:v>
                      </c:pt>
                      <c:pt idx="291">
                        <c:v>0.50544641080918684</c:v>
                      </c:pt>
                      <c:pt idx="292">
                        <c:v>0.50785598577396684</c:v>
                      </c:pt>
                      <c:pt idx="293">
                        <c:v>0.517628263685046</c:v>
                      </c:pt>
                      <c:pt idx="294">
                        <c:v>0.51647524045000381</c:v>
                      </c:pt>
                      <c:pt idx="295">
                        <c:v>0.51596368788797808</c:v>
                      </c:pt>
                      <c:pt idx="296">
                        <c:v>0.52104673398048795</c:v>
                      </c:pt>
                      <c:pt idx="297">
                        <c:v>0.52275190918724046</c:v>
                      </c:pt>
                      <c:pt idx="298">
                        <c:v>0.52080922743383307</c:v>
                      </c:pt>
                      <c:pt idx="299">
                        <c:v>0.53387005752936356</c:v>
                      </c:pt>
                      <c:pt idx="300">
                        <c:v>0.54027461440710656</c:v>
                      </c:pt>
                      <c:pt idx="301">
                        <c:v>0.54004319777190435</c:v>
                      </c:pt>
                      <c:pt idx="302">
                        <c:v>0.53897746326768414</c:v>
                      </c:pt>
                      <c:pt idx="303">
                        <c:v>0.54203053887596475</c:v>
                      </c:pt>
                      <c:pt idx="304">
                        <c:v>0.53690486340328614</c:v>
                      </c:pt>
                      <c:pt idx="305">
                        <c:v>0.54189453085352135</c:v>
                      </c:pt>
                      <c:pt idx="306">
                        <c:v>0.54198790949579589</c:v>
                      </c:pt>
                      <c:pt idx="307">
                        <c:v>0.54298868494452091</c:v>
                      </c:pt>
                      <c:pt idx="308">
                        <c:v>0.56210085705353841</c:v>
                      </c:pt>
                      <c:pt idx="309">
                        <c:v>0.5620561977028854</c:v>
                      </c:pt>
                      <c:pt idx="310">
                        <c:v>0.57063282299875362</c:v>
                      </c:pt>
                      <c:pt idx="311">
                        <c:v>0.57534438449264946</c:v>
                      </c:pt>
                      <c:pt idx="312">
                        <c:v>0.57058816364810061</c:v>
                      </c:pt>
                      <c:pt idx="313">
                        <c:v>0.5752672456142488</c:v>
                      </c:pt>
                      <c:pt idx="314">
                        <c:v>0.57441465801087255</c:v>
                      </c:pt>
                      <c:pt idx="315">
                        <c:v>0.57606299404406658</c:v>
                      </c:pt>
                      <c:pt idx="316">
                        <c:v>0.58913803393298658</c:v>
                      </c:pt>
                      <c:pt idx="317">
                        <c:v>0.58440414276376418</c:v>
                      </c:pt>
                      <c:pt idx="318">
                        <c:v>0.58858994190224478</c:v>
                      </c:pt>
                      <c:pt idx="319">
                        <c:v>0.58851077305335986</c:v>
                      </c:pt>
                      <c:pt idx="320">
                        <c:v>0.58730700055621188</c:v>
                      </c:pt>
                      <c:pt idx="321">
                        <c:v>0.59635254903393708</c:v>
                      </c:pt>
                      <c:pt idx="322">
                        <c:v>0.60187000881007191</c:v>
                      </c:pt>
                      <c:pt idx="323">
                        <c:v>0.58221989452273359</c:v>
                      </c:pt>
                      <c:pt idx="324">
                        <c:v>0.58488727573901078</c:v>
                      </c:pt>
                      <c:pt idx="325">
                        <c:v>0.58681168775806003</c:v>
                      </c:pt>
                      <c:pt idx="326">
                        <c:v>0.6010255410886326</c:v>
                      </c:pt>
                      <c:pt idx="327">
                        <c:v>0.60008972469540289</c:v>
                      </c:pt>
                      <c:pt idx="328">
                        <c:v>0.60979095363953406</c:v>
                      </c:pt>
                      <c:pt idx="329">
                        <c:v>0.60898302538681093</c:v>
                      </c:pt>
                      <c:pt idx="330">
                        <c:v>0.61545457129053338</c:v>
                      </c:pt>
                      <c:pt idx="331">
                        <c:v>0.62198092639733016</c:v>
                      </c:pt>
                      <c:pt idx="332">
                        <c:v>0.61393412339784581</c:v>
                      </c:pt>
                      <c:pt idx="333">
                        <c:v>0.61611025175693945</c:v>
                      </c:pt>
                      <c:pt idx="334">
                        <c:v>0.62303854101961353</c:v>
                      </c:pt>
                      <c:pt idx="335">
                        <c:v>0.62426261322160381</c:v>
                      </c:pt>
                      <c:pt idx="336">
                        <c:v>0.62046859838657942</c:v>
                      </c:pt>
                      <c:pt idx="337">
                        <c:v>0.62087053254245683</c:v>
                      </c:pt>
                      <c:pt idx="338">
                        <c:v>0.56602478999955341</c:v>
                      </c:pt>
                      <c:pt idx="339">
                        <c:v>0.46319054520947267</c:v>
                      </c:pt>
                      <c:pt idx="340">
                        <c:v>0.60054037814290184</c:v>
                      </c:pt>
                      <c:pt idx="341">
                        <c:v>0.65706084633529427</c:v>
                      </c:pt>
                      <c:pt idx="342">
                        <c:v>0.66938885708601792</c:v>
                      </c:pt>
                      <c:pt idx="343">
                        <c:v>0.67308949327876777</c:v>
                      </c:pt>
                      <c:pt idx="344">
                        <c:v>0.69137140745973558</c:v>
                      </c:pt>
                      <c:pt idx="345">
                        <c:v>0.68743529469081521</c:v>
                      </c:pt>
                      <c:pt idx="346">
                        <c:v>0.68198685391114411</c:v>
                      </c:pt>
                      <c:pt idx="347">
                        <c:v>0.69796272162202766</c:v>
                      </c:pt>
                      <c:pt idx="348">
                        <c:v>0.72974190955263507</c:v>
                      </c:pt>
                      <c:pt idx="349">
                        <c:v>0.70376031732498612</c:v>
                      </c:pt>
                      <c:pt idx="350">
                        <c:v>0.80688687786479585</c:v>
                      </c:pt>
                      <c:pt idx="351">
                        <c:v>0.81214856135991786</c:v>
                      </c:pt>
                      <c:pt idx="352">
                        <c:v>0.80076042694339222</c:v>
                      </c:pt>
                      <c:pt idx="353">
                        <c:v>0.80799321177870076</c:v>
                      </c:pt>
                      <c:pt idx="354">
                        <c:v>0.78454299274488548</c:v>
                      </c:pt>
                      <c:pt idx="355">
                        <c:v>0.79241318831224195</c:v>
                      </c:pt>
                      <c:pt idx="356">
                        <c:v>0.80088628511341442</c:v>
                      </c:pt>
                      <c:pt idx="357">
                        <c:v>0.81856732803105048</c:v>
                      </c:pt>
                      <c:pt idx="358">
                        <c:v>0.83018078917132543</c:v>
                      </c:pt>
                      <c:pt idx="359">
                        <c:v>0.82245675147883346</c:v>
                      </c:pt>
                      <c:pt idx="360">
                        <c:v>0.84880576836412802</c:v>
                      </c:pt>
                      <c:pt idx="361">
                        <c:v>0.85595126446861458</c:v>
                      </c:pt>
                      <c:pt idx="362">
                        <c:v>0.87768818841374041</c:v>
                      </c:pt>
                      <c:pt idx="363">
                        <c:v>0.89079773780089233</c:v>
                      </c:pt>
                      <c:pt idx="364">
                        <c:v>0.88856680023872447</c:v>
                      </c:pt>
                      <c:pt idx="365">
                        <c:v>0.9001619916446415</c:v>
                      </c:pt>
                      <c:pt idx="366">
                        <c:v>0.88739550726932426</c:v>
                      </c:pt>
                      <c:pt idx="367">
                        <c:v>0.89131132033340232</c:v>
                      </c:pt>
                      <c:pt idx="368">
                        <c:v>0.88775887198600134</c:v>
                      </c:pt>
                      <c:pt idx="369">
                        <c:v>0.8990455078783155</c:v>
                      </c:pt>
                      <c:pt idx="370">
                        <c:v>0.88148626318973322</c:v>
                      </c:pt>
                      <c:pt idx="371">
                        <c:v>0.86679536679536684</c:v>
                      </c:pt>
                      <c:pt idx="372">
                        <c:v>0.91317004250758194</c:v>
                      </c:pt>
                      <c:pt idx="373">
                        <c:v>0.90139824366953702</c:v>
                      </c:pt>
                      <c:pt idx="374">
                        <c:v>0.88647187069900002</c:v>
                      </c:pt>
                      <c:pt idx="375">
                        <c:v>0.89674758129016807</c:v>
                      </c:pt>
                      <c:pt idx="376">
                        <c:v>0.90164387009812874</c:v>
                      </c:pt>
                      <c:pt idx="377">
                        <c:v>0.90648331973253105</c:v>
                      </c:pt>
                      <c:pt idx="378">
                        <c:v>0.90767491240677356</c:v>
                      </c:pt>
                      <c:pt idx="379">
                        <c:v>0.91972075726018943</c:v>
                      </c:pt>
                      <c:pt idx="380">
                        <c:v>0.92736359613331221</c:v>
                      </c:pt>
                      <c:pt idx="381">
                        <c:v>0.92038252763804818</c:v>
                      </c:pt>
                      <c:pt idx="382">
                        <c:v>0.91642408519380125</c:v>
                      </c:pt>
                      <c:pt idx="383">
                        <c:v>0.91782273485743515</c:v>
                      </c:pt>
                      <c:pt idx="384">
                        <c:v>0.9070395316452099</c:v>
                      </c:pt>
                      <c:pt idx="385">
                        <c:v>0.91569126584899452</c:v>
                      </c:pt>
                      <c:pt idx="386">
                        <c:v>0.92130007429691974</c:v>
                      </c:pt>
                      <c:pt idx="387">
                        <c:v>0.92070529294504055</c:v>
                      </c:pt>
                      <c:pt idx="388">
                        <c:v>0.93023803433898067</c:v>
                      </c:pt>
                      <c:pt idx="389">
                        <c:v>0.92944025593867863</c:v>
                      </c:pt>
                      <c:pt idx="390">
                        <c:v>0.94128513371415579</c:v>
                      </c:pt>
                      <c:pt idx="391">
                        <c:v>0.93679280903255668</c:v>
                      </c:pt>
                      <c:pt idx="392">
                        <c:v>0.94729384634747416</c:v>
                      </c:pt>
                      <c:pt idx="393">
                        <c:v>0.95540966834342234</c:v>
                      </c:pt>
                      <c:pt idx="394">
                        <c:v>0.9626607229130888</c:v>
                      </c:pt>
                      <c:pt idx="395">
                        <c:v>0.97374233178649583</c:v>
                      </c:pt>
                      <c:pt idx="396">
                        <c:v>0.96190760386343988</c:v>
                      </c:pt>
                      <c:pt idx="397">
                        <c:v>0.96341181199225367</c:v>
                      </c:pt>
                      <c:pt idx="398">
                        <c:v>0.98047777385316814</c:v>
                      </c:pt>
                      <c:pt idx="399">
                        <c:v>0.97722982107840151</c:v>
                      </c:pt>
                      <c:pt idx="400">
                        <c:v>0.96609746294288878</c:v>
                      </c:pt>
                      <c:pt idx="401">
                        <c:v>0.97849855263104479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542-4FC2-A1E6-C379A5B1ABBB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FinalData!$C$1</c15:sqref>
                        </c15:formulaRef>
                      </c:ext>
                    </c:extLst>
                    <c:strCache>
                      <c:ptCount val="1"/>
                      <c:pt idx="0">
                        <c:v>Lag5</c:v>
                      </c:pt>
                    </c:strCache>
                  </c:strRef>
                </c:tx>
                <c:spPr>
                  <a:ln w="317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FinalData!$J$2:$J$403</c15:sqref>
                        </c15:formulaRef>
                      </c:ext>
                    </c:extLst>
                    <c:numCache>
                      <c:formatCode>m/d/yyyy</c:formatCode>
                      <c:ptCount val="402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  <c:pt idx="396">
                        <c:v>45658</c:v>
                      </c:pt>
                      <c:pt idx="397">
                        <c:v>45689</c:v>
                      </c:pt>
                      <c:pt idx="398">
                        <c:v>45717</c:v>
                      </c:pt>
                      <c:pt idx="399">
                        <c:v>45748</c:v>
                      </c:pt>
                      <c:pt idx="400">
                        <c:v>45778</c:v>
                      </c:pt>
                      <c:pt idx="401">
                        <c:v>45809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FinalData!$C$2:$C$403</c15:sqref>
                        </c15:formulaRef>
                      </c:ext>
                    </c:extLst>
                    <c:numCache>
                      <c:formatCode>General</c:formatCode>
                      <c:ptCount val="402"/>
                      <c:pt idx="0">
                        <c:v>9.4190630468232988E-4</c:v>
                      </c:pt>
                      <c:pt idx="1">
                        <c:v>0</c:v>
                      </c:pt>
                      <c:pt idx="2">
                        <c:v>3.1241245752286761E-3</c:v>
                      </c:pt>
                      <c:pt idx="3">
                        <c:v>4.3015074560815887E-3</c:v>
                      </c:pt>
                      <c:pt idx="4">
                        <c:v>6.4004969367745393E-3</c:v>
                      </c:pt>
                      <c:pt idx="5">
                        <c:v>9.3845535485914035E-3</c:v>
                      </c:pt>
                      <c:pt idx="6">
                        <c:v>8.0183834127051795E-3</c:v>
                      </c:pt>
                      <c:pt idx="7">
                        <c:v>1.1798188454339874E-2</c:v>
                      </c:pt>
                      <c:pt idx="8">
                        <c:v>1.4668566719039905E-2</c:v>
                      </c:pt>
                      <c:pt idx="9">
                        <c:v>1.4232123064930637E-2</c:v>
                      </c:pt>
                      <c:pt idx="10">
                        <c:v>1.7169490355610228E-2</c:v>
                      </c:pt>
                      <c:pt idx="11">
                        <c:v>2.0723968673495487E-2</c:v>
                      </c:pt>
                      <c:pt idx="12">
                        <c:v>1.953237599925297E-2</c:v>
                      </c:pt>
                      <c:pt idx="13">
                        <c:v>1.7061901919946085E-2</c:v>
                      </c:pt>
                      <c:pt idx="14">
                        <c:v>2.5577628101287407E-2</c:v>
                      </c:pt>
                      <c:pt idx="15">
                        <c:v>2.7236113986902632E-2</c:v>
                      </c:pt>
                      <c:pt idx="16">
                        <c:v>2.6862599417804466E-2</c:v>
                      </c:pt>
                      <c:pt idx="17">
                        <c:v>3.2777933408848235E-2</c:v>
                      </c:pt>
                      <c:pt idx="18">
                        <c:v>3.1068698261127282E-2</c:v>
                      </c:pt>
                      <c:pt idx="19">
                        <c:v>3.3321965498621653E-2</c:v>
                      </c:pt>
                      <c:pt idx="20">
                        <c:v>3.5835068958097349E-2</c:v>
                      </c:pt>
                      <c:pt idx="21">
                        <c:v>4.0363933108412603E-2</c:v>
                      </c:pt>
                      <c:pt idx="22">
                        <c:v>4.2909516095635966E-2</c:v>
                      </c:pt>
                      <c:pt idx="23">
                        <c:v>4.1104872335156244E-2</c:v>
                      </c:pt>
                      <c:pt idx="24">
                        <c:v>4.659797246548035E-2</c:v>
                      </c:pt>
                      <c:pt idx="25">
                        <c:v>5.3205526391646267E-2</c:v>
                      </c:pt>
                      <c:pt idx="26">
                        <c:v>5.3067488398718686E-2</c:v>
                      </c:pt>
                      <c:pt idx="27">
                        <c:v>5.1342013487123896E-2</c:v>
                      </c:pt>
                      <c:pt idx="28">
                        <c:v>5.5249706669265028E-2</c:v>
                      </c:pt>
                      <c:pt idx="29">
                        <c:v>5.5609011444973593E-2</c:v>
                      </c:pt>
                      <c:pt idx="30">
                        <c:v>6.1329468269531361E-2</c:v>
                      </c:pt>
                      <c:pt idx="31">
                        <c:v>6.4751998505941724E-2</c:v>
                      </c:pt>
                      <c:pt idx="32">
                        <c:v>6.737269040108157E-2</c:v>
                      </c:pt>
                      <c:pt idx="33">
                        <c:v>6.8290237059953143E-2</c:v>
                      </c:pt>
                      <c:pt idx="34">
                        <c:v>6.9116435047034422E-2</c:v>
                      </c:pt>
                      <c:pt idx="35">
                        <c:v>7.1081446475768237E-2</c:v>
                      </c:pt>
                      <c:pt idx="36">
                        <c:v>6.5852242508393929E-2</c:v>
                      </c:pt>
                      <c:pt idx="37">
                        <c:v>6.9538668907754078E-2</c:v>
                      </c:pt>
                      <c:pt idx="38">
                        <c:v>6.9491979586616806E-2</c:v>
                      </c:pt>
                      <c:pt idx="39">
                        <c:v>7.490591086805598E-2</c:v>
                      </c:pt>
                      <c:pt idx="40">
                        <c:v>7.9700701151805248E-2</c:v>
                      </c:pt>
                      <c:pt idx="41">
                        <c:v>7.6933851381800908E-2</c:v>
                      </c:pt>
                      <c:pt idx="42">
                        <c:v>8.0522839197918056E-2</c:v>
                      </c:pt>
                      <c:pt idx="43">
                        <c:v>8.1105440726891825E-2</c:v>
                      </c:pt>
                      <c:pt idx="44">
                        <c:v>7.9759570295847904E-2</c:v>
                      </c:pt>
                      <c:pt idx="45">
                        <c:v>8.567896422786013E-2</c:v>
                      </c:pt>
                      <c:pt idx="46">
                        <c:v>8.6722369056753915E-2</c:v>
                      </c:pt>
                      <c:pt idx="47">
                        <c:v>8.6306225107486936E-2</c:v>
                      </c:pt>
                      <c:pt idx="48">
                        <c:v>9.227433833112067E-2</c:v>
                      </c:pt>
                      <c:pt idx="49">
                        <c:v>9.3616148821196135E-2</c:v>
                      </c:pt>
                      <c:pt idx="50">
                        <c:v>9.6744333337393268E-2</c:v>
                      </c:pt>
                      <c:pt idx="51">
                        <c:v>0.10032926121254197</c:v>
                      </c:pt>
                      <c:pt idx="52">
                        <c:v>9.7113787965522988E-2</c:v>
                      </c:pt>
                      <c:pt idx="53">
                        <c:v>9.9454343933839201E-2</c:v>
                      </c:pt>
                      <c:pt idx="54">
                        <c:v>9.9507123166429165E-2</c:v>
                      </c:pt>
                      <c:pt idx="55">
                        <c:v>0.10389997929430106</c:v>
                      </c:pt>
                      <c:pt idx="56">
                        <c:v>0.10819742680941419</c:v>
                      </c:pt>
                      <c:pt idx="57">
                        <c:v>0.10706064333824586</c:v>
                      </c:pt>
                      <c:pt idx="58">
                        <c:v>0.10799036982002282</c:v>
                      </c:pt>
                      <c:pt idx="59">
                        <c:v>0.1123121769809467</c:v>
                      </c:pt>
                      <c:pt idx="60">
                        <c:v>0.11524345436017361</c:v>
                      </c:pt>
                      <c:pt idx="61">
                        <c:v>0.11820924123763241</c:v>
                      </c:pt>
                      <c:pt idx="62">
                        <c:v>0.11183513391715284</c:v>
                      </c:pt>
                      <c:pt idx="63">
                        <c:v>0.11127689203398983</c:v>
                      </c:pt>
                      <c:pt idx="64">
                        <c:v>0.11609604196354985</c:v>
                      </c:pt>
                      <c:pt idx="65">
                        <c:v>0.12104916994506899</c:v>
                      </c:pt>
                      <c:pt idx="66">
                        <c:v>0.1213353957833453</c:v>
                      </c:pt>
                      <c:pt idx="67">
                        <c:v>0.12356836331599738</c:v>
                      </c:pt>
                      <c:pt idx="68">
                        <c:v>0.12369625145650383</c:v>
                      </c:pt>
                      <c:pt idx="69">
                        <c:v>0.12313394963237234</c:v>
                      </c:pt>
                      <c:pt idx="70">
                        <c:v>0.12528368837517104</c:v>
                      </c:pt>
                      <c:pt idx="71">
                        <c:v>0.12663970865863611</c:v>
                      </c:pt>
                      <c:pt idx="72">
                        <c:v>0.12603477745433581</c:v>
                      </c:pt>
                      <c:pt idx="73">
                        <c:v>0.12827586486892481</c:v>
                      </c:pt>
                      <c:pt idx="74">
                        <c:v>0.13512092534174552</c:v>
                      </c:pt>
                      <c:pt idx="75">
                        <c:v>0.13609937111514397</c:v>
                      </c:pt>
                      <c:pt idx="76">
                        <c:v>0.14027502040120338</c:v>
                      </c:pt>
                      <c:pt idx="77">
                        <c:v>0.13710014656386896</c:v>
                      </c:pt>
                      <c:pt idx="78">
                        <c:v>0.13320057326366475</c:v>
                      </c:pt>
                      <c:pt idx="79">
                        <c:v>0.13802175316370899</c:v>
                      </c:pt>
                      <c:pt idx="80">
                        <c:v>0.14549610448664077</c:v>
                      </c:pt>
                      <c:pt idx="81">
                        <c:v>0.14833806316456158</c:v>
                      </c:pt>
                      <c:pt idx="82">
                        <c:v>0.1528080581708342</c:v>
                      </c:pt>
                      <c:pt idx="83">
                        <c:v>0.15389206240941256</c:v>
                      </c:pt>
                      <c:pt idx="84">
                        <c:v>0.15965514861413915</c:v>
                      </c:pt>
                      <c:pt idx="85">
                        <c:v>0.16255800640658685</c:v>
                      </c:pt>
                      <c:pt idx="86">
                        <c:v>0.16588309805975421</c:v>
                      </c:pt>
                      <c:pt idx="87">
                        <c:v>0.16941524670231295</c:v>
                      </c:pt>
                      <c:pt idx="88">
                        <c:v>0.17123613022666651</c:v>
                      </c:pt>
                      <c:pt idx="89">
                        <c:v>0.17519457267091337</c:v>
                      </c:pt>
                      <c:pt idx="90">
                        <c:v>0.18022483953083321</c:v>
                      </c:pt>
                      <c:pt idx="91">
                        <c:v>0.18227510971990468</c:v>
                      </c:pt>
                      <c:pt idx="92">
                        <c:v>0.18093938914128188</c:v>
                      </c:pt>
                      <c:pt idx="93">
                        <c:v>0.18737642554677256</c:v>
                      </c:pt>
                      <c:pt idx="94">
                        <c:v>0.19785919312733194</c:v>
                      </c:pt>
                      <c:pt idx="95">
                        <c:v>0.1937018135756306</c:v>
                      </c:pt>
                      <c:pt idx="96">
                        <c:v>0.20182169551254725</c:v>
                      </c:pt>
                      <c:pt idx="97">
                        <c:v>0.2078953672013609</c:v>
                      </c:pt>
                      <c:pt idx="98">
                        <c:v>0.19778408421941546</c:v>
                      </c:pt>
                      <c:pt idx="99">
                        <c:v>0.2018318453649684</c:v>
                      </c:pt>
                      <c:pt idx="100">
                        <c:v>0.20524219577847339</c:v>
                      </c:pt>
                      <c:pt idx="101">
                        <c:v>0.20068085210041045</c:v>
                      </c:pt>
                      <c:pt idx="102">
                        <c:v>0.2033989825787933</c:v>
                      </c:pt>
                      <c:pt idx="103">
                        <c:v>0.20989894806929507</c:v>
                      </c:pt>
                      <c:pt idx="104">
                        <c:v>0.20965332164070336</c:v>
                      </c:pt>
                      <c:pt idx="105">
                        <c:v>0.20650077747869547</c:v>
                      </c:pt>
                      <c:pt idx="106">
                        <c:v>0.206496717537727</c:v>
                      </c:pt>
                      <c:pt idx="107">
                        <c:v>0.21359146438010793</c:v>
                      </c:pt>
                      <c:pt idx="108">
                        <c:v>0.21348996585589647</c:v>
                      </c:pt>
                      <c:pt idx="109">
                        <c:v>0.20785679776216054</c:v>
                      </c:pt>
                      <c:pt idx="110">
                        <c:v>0.21719263201913044</c:v>
                      </c:pt>
                      <c:pt idx="111">
                        <c:v>0.21950070845969899</c:v>
                      </c:pt>
                      <c:pt idx="112">
                        <c:v>0.21663033019499897</c:v>
                      </c:pt>
                      <c:pt idx="113">
                        <c:v>0.21358537446865522</c:v>
                      </c:pt>
                      <c:pt idx="114">
                        <c:v>0.21816092794010775</c:v>
                      </c:pt>
                      <c:pt idx="115">
                        <c:v>0.20504731861198738</c:v>
                      </c:pt>
                      <c:pt idx="116">
                        <c:v>0.24510269620679714</c:v>
                      </c:pt>
                      <c:pt idx="117">
                        <c:v>0.22728361529623359</c:v>
                      </c:pt>
                      <c:pt idx="118">
                        <c:v>0.21874758941004999</c:v>
                      </c:pt>
                      <c:pt idx="119">
                        <c:v>0.2202172880406319</c:v>
                      </c:pt>
                      <c:pt idx="120">
                        <c:v>0.22361951857219997</c:v>
                      </c:pt>
                      <c:pt idx="121">
                        <c:v>0.22212343032532306</c:v>
                      </c:pt>
                      <c:pt idx="122">
                        <c:v>0.22821537174849477</c:v>
                      </c:pt>
                      <c:pt idx="123">
                        <c:v>0.22384484529594939</c:v>
                      </c:pt>
                      <c:pt idx="124">
                        <c:v>0.22640666804704659</c:v>
                      </c:pt>
                      <c:pt idx="125">
                        <c:v>0.2338911692223995</c:v>
                      </c:pt>
                      <c:pt idx="126">
                        <c:v>0.23736444872091561</c:v>
                      </c:pt>
                      <c:pt idx="127">
                        <c:v>0.22727752538478091</c:v>
                      </c:pt>
                      <c:pt idx="128">
                        <c:v>0.23143896487745069</c:v>
                      </c:pt>
                      <c:pt idx="129">
                        <c:v>0.23188352841349688</c:v>
                      </c:pt>
                      <c:pt idx="130">
                        <c:v>0.23768112411645534</c:v>
                      </c:pt>
                      <c:pt idx="131">
                        <c:v>0.24212269953594875</c:v>
                      </c:pt>
                      <c:pt idx="132">
                        <c:v>0.2342809235553715</c:v>
                      </c:pt>
                      <c:pt idx="133">
                        <c:v>0.24044188397500701</c:v>
                      </c:pt>
                      <c:pt idx="134">
                        <c:v>0.2420841300967484</c:v>
                      </c:pt>
                      <c:pt idx="135">
                        <c:v>0.24211863959498028</c:v>
                      </c:pt>
                      <c:pt idx="136">
                        <c:v>0.25011469333235897</c:v>
                      </c:pt>
                      <c:pt idx="137">
                        <c:v>0.25488918391126592</c:v>
                      </c:pt>
                      <c:pt idx="138">
                        <c:v>0.26083496745957313</c:v>
                      </c:pt>
                      <c:pt idx="139">
                        <c:v>0.26002297926588147</c:v>
                      </c:pt>
                      <c:pt idx="140">
                        <c:v>0.25768445326804951</c:v>
                      </c:pt>
                      <c:pt idx="141">
                        <c:v>0.25991945077118578</c:v>
                      </c:pt>
                      <c:pt idx="142">
                        <c:v>0.26273907977378008</c:v>
                      </c:pt>
                      <c:pt idx="143">
                        <c:v>0.26459650276684976</c:v>
                      </c:pt>
                      <c:pt idx="144">
                        <c:v>0.26844329683446405</c:v>
                      </c:pt>
                      <c:pt idx="145">
                        <c:v>0.2792670994563739</c:v>
                      </c:pt>
                      <c:pt idx="146">
                        <c:v>0.27507115046547226</c:v>
                      </c:pt>
                      <c:pt idx="147">
                        <c:v>0.28249272255581404</c:v>
                      </c:pt>
                      <c:pt idx="148">
                        <c:v>0.27814858571956363</c:v>
                      </c:pt>
                      <c:pt idx="149">
                        <c:v>0.28263279051922585</c:v>
                      </c:pt>
                      <c:pt idx="150">
                        <c:v>0.28193448067265103</c:v>
                      </c:pt>
                      <c:pt idx="151">
                        <c:v>0.29383010771023388</c:v>
                      </c:pt>
                      <c:pt idx="152">
                        <c:v>0.29552310309408103</c:v>
                      </c:pt>
                      <c:pt idx="153">
                        <c:v>0.29954041468237053</c:v>
                      </c:pt>
                      <c:pt idx="154">
                        <c:v>0.30709596482467144</c:v>
                      </c:pt>
                      <c:pt idx="155">
                        <c:v>0.30041736193155749</c:v>
                      </c:pt>
                      <c:pt idx="156">
                        <c:v>0.30772322570429828</c:v>
                      </c:pt>
                      <c:pt idx="157">
                        <c:v>0.30982018521450699</c:v>
                      </c:pt>
                      <c:pt idx="158">
                        <c:v>0.31471241408149925</c:v>
                      </c:pt>
                      <c:pt idx="159">
                        <c:v>0.31097929836100185</c:v>
                      </c:pt>
                      <c:pt idx="160">
                        <c:v>0.33081008002143647</c:v>
                      </c:pt>
                      <c:pt idx="161">
                        <c:v>0.33535112399465711</c:v>
                      </c:pt>
                      <c:pt idx="162">
                        <c:v>0.32702012512738066</c:v>
                      </c:pt>
                      <c:pt idx="163">
                        <c:v>0.32899122646756718</c:v>
                      </c:pt>
                      <c:pt idx="164">
                        <c:v>0.32858929231168976</c:v>
                      </c:pt>
                      <c:pt idx="165">
                        <c:v>0.33382052624954833</c:v>
                      </c:pt>
                      <c:pt idx="166">
                        <c:v>0.3341392316155723</c:v>
                      </c:pt>
                      <c:pt idx="167">
                        <c:v>0.35209026060761078</c:v>
                      </c:pt>
                      <c:pt idx="168">
                        <c:v>0.34777454335813957</c:v>
                      </c:pt>
                      <c:pt idx="169">
                        <c:v>0.34986744292737981</c:v>
                      </c:pt>
                      <c:pt idx="170">
                        <c:v>0.35316208502328378</c:v>
                      </c:pt>
                      <c:pt idx="171">
                        <c:v>0.35077686970431449</c:v>
                      </c:pt>
                      <c:pt idx="172">
                        <c:v>0.35495657893134236</c:v>
                      </c:pt>
                      <c:pt idx="173">
                        <c:v>0.35699872923847686</c:v>
                      </c:pt>
                      <c:pt idx="174">
                        <c:v>0.35865924509457631</c:v>
                      </c:pt>
                      <c:pt idx="175">
                        <c:v>0.35378325599145788</c:v>
                      </c:pt>
                      <c:pt idx="176">
                        <c:v>0.35326561351797947</c:v>
                      </c:pt>
                      <c:pt idx="177">
                        <c:v>0.35525092465155556</c:v>
                      </c:pt>
                      <c:pt idx="178">
                        <c:v>0.36172450052576238</c:v>
                      </c:pt>
                      <c:pt idx="179">
                        <c:v>0.36171029073237276</c:v>
                      </c:pt>
                      <c:pt idx="180">
                        <c:v>0.36400212740906746</c:v>
                      </c:pt>
                      <c:pt idx="181">
                        <c:v>0.3686182802902046</c:v>
                      </c:pt>
                      <c:pt idx="182">
                        <c:v>0.36693340478829439</c:v>
                      </c:pt>
                      <c:pt idx="183">
                        <c:v>0.37584091527309194</c:v>
                      </c:pt>
                      <c:pt idx="184">
                        <c:v>0.3693653094284009</c:v>
                      </c:pt>
                      <c:pt idx="185">
                        <c:v>0.37216463872615291</c:v>
                      </c:pt>
                      <c:pt idx="186">
                        <c:v>0.3762022500192847</c:v>
                      </c:pt>
                      <c:pt idx="187">
                        <c:v>0.37868693389198121</c:v>
                      </c:pt>
                      <c:pt idx="188">
                        <c:v>0.38249515852039512</c:v>
                      </c:pt>
                      <c:pt idx="189">
                        <c:v>0.38955336589405992</c:v>
                      </c:pt>
                      <c:pt idx="190">
                        <c:v>0.37988664644816067</c:v>
                      </c:pt>
                      <c:pt idx="191">
                        <c:v>0.38236118046843598</c:v>
                      </c:pt>
                      <c:pt idx="192">
                        <c:v>0.3770649874750821</c:v>
                      </c:pt>
                      <c:pt idx="193">
                        <c:v>0.37833168905724113</c:v>
                      </c:pt>
                      <c:pt idx="194">
                        <c:v>0.37740602251643263</c:v>
                      </c:pt>
                      <c:pt idx="195">
                        <c:v>0.38359946246381577</c:v>
                      </c:pt>
                      <c:pt idx="196">
                        <c:v>0.38497172251115469</c:v>
                      </c:pt>
                      <c:pt idx="197">
                        <c:v>0.38200187569272742</c:v>
                      </c:pt>
                      <c:pt idx="198">
                        <c:v>0.37590181438761883</c:v>
                      </c:pt>
                      <c:pt idx="199">
                        <c:v>0.3642741434539542</c:v>
                      </c:pt>
                      <c:pt idx="200">
                        <c:v>0.33869651535266676</c:v>
                      </c:pt>
                      <c:pt idx="201">
                        <c:v>0.31114575594070865</c:v>
                      </c:pt>
                      <c:pt idx="202">
                        <c:v>0.29526123690161543</c:v>
                      </c:pt>
                      <c:pt idx="203">
                        <c:v>0.30516343292368531</c:v>
                      </c:pt>
                      <c:pt idx="204">
                        <c:v>0.30309286302977156</c:v>
                      </c:pt>
                      <c:pt idx="205">
                        <c:v>0.29211681262154449</c:v>
                      </c:pt>
                      <c:pt idx="206">
                        <c:v>0.29517800811176204</c:v>
                      </c:pt>
                      <c:pt idx="207">
                        <c:v>0.30062847886191735</c:v>
                      </c:pt>
                      <c:pt idx="208">
                        <c:v>0.31127161411073084</c:v>
                      </c:pt>
                      <c:pt idx="209">
                        <c:v>0.31425567072254768</c:v>
                      </c:pt>
                      <c:pt idx="210">
                        <c:v>0.32631978531032158</c:v>
                      </c:pt>
                      <c:pt idx="211">
                        <c:v>0.3092233738921436</c:v>
                      </c:pt>
                      <c:pt idx="212">
                        <c:v>0.31656780710408472</c:v>
                      </c:pt>
                      <c:pt idx="213">
                        <c:v>0.32167521284240524</c:v>
                      </c:pt>
                      <c:pt idx="214">
                        <c:v>0.32446845222870457</c:v>
                      </c:pt>
                      <c:pt idx="215">
                        <c:v>0.32521142142593246</c:v>
                      </c:pt>
                      <c:pt idx="216">
                        <c:v>0.32518097186866901</c:v>
                      </c:pt>
                      <c:pt idx="217">
                        <c:v>0.33982720891238244</c:v>
                      </c:pt>
                      <c:pt idx="218">
                        <c:v>0.34514167164009435</c:v>
                      </c:pt>
                      <c:pt idx="219">
                        <c:v>0.33908220974467029</c:v>
                      </c:pt>
                      <c:pt idx="220">
                        <c:v>0.3379251265686597</c:v>
                      </c:pt>
                      <c:pt idx="221">
                        <c:v>0.33986374838109856</c:v>
                      </c:pt>
                      <c:pt idx="222">
                        <c:v>0.34233625243088966</c:v>
                      </c:pt>
                      <c:pt idx="223">
                        <c:v>0.34847488317519865</c:v>
                      </c:pt>
                      <c:pt idx="224">
                        <c:v>0.35642018765047156</c:v>
                      </c:pt>
                      <c:pt idx="225">
                        <c:v>0.36250197922122213</c:v>
                      </c:pt>
                      <c:pt idx="226">
                        <c:v>0.36803567876123083</c:v>
                      </c:pt>
                      <c:pt idx="227">
                        <c:v>0.37260920226219912</c:v>
                      </c:pt>
                      <c:pt idx="228">
                        <c:v>0.37743038216224334</c:v>
                      </c:pt>
                      <c:pt idx="229">
                        <c:v>0.38374765030916452</c:v>
                      </c:pt>
                      <c:pt idx="230">
                        <c:v>0.38786443045118124</c:v>
                      </c:pt>
                      <c:pt idx="231">
                        <c:v>0.38628105347348252</c:v>
                      </c:pt>
                      <c:pt idx="232">
                        <c:v>0.39175994381041701</c:v>
                      </c:pt>
                      <c:pt idx="233">
                        <c:v>0.39138236930035036</c:v>
                      </c:pt>
                      <c:pt idx="234">
                        <c:v>0.39187159218704959</c:v>
                      </c:pt>
                      <c:pt idx="235">
                        <c:v>0.39968291861036342</c:v>
                      </c:pt>
                      <c:pt idx="236">
                        <c:v>0.40383826819158047</c:v>
                      </c:pt>
                      <c:pt idx="237">
                        <c:v>0.40618491407134938</c:v>
                      </c:pt>
                      <c:pt idx="238">
                        <c:v>0.40796925812698681</c:v>
                      </c:pt>
                      <c:pt idx="239">
                        <c:v>0.41317207247806614</c:v>
                      </c:pt>
                      <c:pt idx="240">
                        <c:v>0.42269060407861669</c:v>
                      </c:pt>
                      <c:pt idx="241">
                        <c:v>0.42553865266799018</c:v>
                      </c:pt>
                      <c:pt idx="242">
                        <c:v>0.42142593246694193</c:v>
                      </c:pt>
                      <c:pt idx="243">
                        <c:v>0.42009021188831913</c:v>
                      </c:pt>
                      <c:pt idx="244">
                        <c:v>0.41252857183456554</c:v>
                      </c:pt>
                      <c:pt idx="245">
                        <c:v>0.4157704346978795</c:v>
                      </c:pt>
                      <c:pt idx="246">
                        <c:v>0.42560767166445401</c:v>
                      </c:pt>
                      <c:pt idx="247">
                        <c:v>0.43127737922690607</c:v>
                      </c:pt>
                      <c:pt idx="248">
                        <c:v>0.43162653415019347</c:v>
                      </c:pt>
                      <c:pt idx="249">
                        <c:v>0.43449082250344079</c:v>
                      </c:pt>
                      <c:pt idx="250">
                        <c:v>0.43725361233247667</c:v>
                      </c:pt>
                      <c:pt idx="251">
                        <c:v>0.44281167151829615</c:v>
                      </c:pt>
                      <c:pt idx="252">
                        <c:v>0.45290062482491505</c:v>
                      </c:pt>
                      <c:pt idx="253">
                        <c:v>0.44665034570397344</c:v>
                      </c:pt>
                      <c:pt idx="254">
                        <c:v>0.44330292437547958</c:v>
                      </c:pt>
                      <c:pt idx="255">
                        <c:v>0.44805914522002849</c:v>
                      </c:pt>
                      <c:pt idx="256">
                        <c:v>0.45077727569841136</c:v>
                      </c:pt>
                      <c:pt idx="257">
                        <c:v>0.45496307483689186</c:v>
                      </c:pt>
                      <c:pt idx="258">
                        <c:v>0.45354209549793145</c:v>
                      </c:pt>
                      <c:pt idx="259">
                        <c:v>0.45379584180846011</c:v>
                      </c:pt>
                      <c:pt idx="260">
                        <c:v>0.45537109890422195</c:v>
                      </c:pt>
                      <c:pt idx="261">
                        <c:v>0.45623180638953509</c:v>
                      </c:pt>
                      <c:pt idx="262">
                        <c:v>0.46157265873354203</c:v>
                      </c:pt>
                      <c:pt idx="263">
                        <c:v>0.45585829182043691</c:v>
                      </c:pt>
                      <c:pt idx="264">
                        <c:v>0.46529968454258674</c:v>
                      </c:pt>
                      <c:pt idx="265">
                        <c:v>0.47331806795529191</c:v>
                      </c:pt>
                      <c:pt idx="266">
                        <c:v>0.48173635555339023</c:v>
                      </c:pt>
                      <c:pt idx="267">
                        <c:v>0.48245699507529161</c:v>
                      </c:pt>
                      <c:pt idx="268">
                        <c:v>0.48414390054768602</c:v>
                      </c:pt>
                      <c:pt idx="269">
                        <c:v>0.4850106979444519</c:v>
                      </c:pt>
                      <c:pt idx="270">
                        <c:v>0.49104377022358092</c:v>
                      </c:pt>
                      <c:pt idx="271">
                        <c:v>0.48751162158102224</c:v>
                      </c:pt>
                      <c:pt idx="272">
                        <c:v>0.48963497070752593</c:v>
                      </c:pt>
                      <c:pt idx="273">
                        <c:v>0.49194101717761024</c:v>
                      </c:pt>
                      <c:pt idx="274">
                        <c:v>0.48427381865867669</c:v>
                      </c:pt>
                      <c:pt idx="275">
                        <c:v>0.47988096253080481</c:v>
                      </c:pt>
                      <c:pt idx="276">
                        <c:v>0.47800526980337704</c:v>
                      </c:pt>
                      <c:pt idx="277">
                        <c:v>0.49036170014087993</c:v>
                      </c:pt>
                      <c:pt idx="278">
                        <c:v>0.49079205388353653</c:v>
                      </c:pt>
                      <c:pt idx="279">
                        <c:v>0.49741381760309206</c:v>
                      </c:pt>
                      <c:pt idx="280">
                        <c:v>0.49750313630439813</c:v>
                      </c:pt>
                      <c:pt idx="281">
                        <c:v>0.50512364550219435</c:v>
                      </c:pt>
                      <c:pt idx="282">
                        <c:v>0.50434616680673461</c:v>
                      </c:pt>
                      <c:pt idx="283">
                        <c:v>0.50024765639907598</c:v>
                      </c:pt>
                      <c:pt idx="284">
                        <c:v>0.49723315022999565</c:v>
                      </c:pt>
                      <c:pt idx="285">
                        <c:v>0.50020502701890712</c:v>
                      </c:pt>
                      <c:pt idx="286">
                        <c:v>0.50227762688330513</c:v>
                      </c:pt>
                      <c:pt idx="287">
                        <c:v>0.49807964792191922</c:v>
                      </c:pt>
                      <c:pt idx="288">
                        <c:v>0.50324795277476664</c:v>
                      </c:pt>
                      <c:pt idx="289">
                        <c:v>0.50115505320552645</c:v>
                      </c:pt>
                      <c:pt idx="290">
                        <c:v>0.50544641080918684</c:v>
                      </c:pt>
                      <c:pt idx="291">
                        <c:v>0.50785598577396684</c:v>
                      </c:pt>
                      <c:pt idx="292">
                        <c:v>0.517628263685046</c:v>
                      </c:pt>
                      <c:pt idx="293">
                        <c:v>0.51647524045000381</c:v>
                      </c:pt>
                      <c:pt idx="294">
                        <c:v>0.51596368788797808</c:v>
                      </c:pt>
                      <c:pt idx="295">
                        <c:v>0.52104673398048795</c:v>
                      </c:pt>
                      <c:pt idx="296">
                        <c:v>0.52275190918724046</c:v>
                      </c:pt>
                      <c:pt idx="297">
                        <c:v>0.52080922743383307</c:v>
                      </c:pt>
                      <c:pt idx="298">
                        <c:v>0.53387005752936356</c:v>
                      </c:pt>
                      <c:pt idx="299">
                        <c:v>0.54027461440710656</c:v>
                      </c:pt>
                      <c:pt idx="300">
                        <c:v>0.54004319777190435</c:v>
                      </c:pt>
                      <c:pt idx="301">
                        <c:v>0.53897746326768414</c:v>
                      </c:pt>
                      <c:pt idx="302">
                        <c:v>0.54203053887596475</c:v>
                      </c:pt>
                      <c:pt idx="303">
                        <c:v>0.53690486340328614</c:v>
                      </c:pt>
                      <c:pt idx="304">
                        <c:v>0.54189453085352135</c:v>
                      </c:pt>
                      <c:pt idx="305">
                        <c:v>0.54198790949579589</c:v>
                      </c:pt>
                      <c:pt idx="306">
                        <c:v>0.54298868494452091</c:v>
                      </c:pt>
                      <c:pt idx="307">
                        <c:v>0.56210085705353841</c:v>
                      </c:pt>
                      <c:pt idx="308">
                        <c:v>0.5620561977028854</c:v>
                      </c:pt>
                      <c:pt idx="309">
                        <c:v>0.57063282299875362</c:v>
                      </c:pt>
                      <c:pt idx="310">
                        <c:v>0.57534438449264946</c:v>
                      </c:pt>
                      <c:pt idx="311">
                        <c:v>0.57058816364810061</c:v>
                      </c:pt>
                      <c:pt idx="312">
                        <c:v>0.5752672456142488</c:v>
                      </c:pt>
                      <c:pt idx="313">
                        <c:v>0.57441465801087255</c:v>
                      </c:pt>
                      <c:pt idx="314">
                        <c:v>0.57606299404406658</c:v>
                      </c:pt>
                      <c:pt idx="315">
                        <c:v>0.58913803393298658</c:v>
                      </c:pt>
                      <c:pt idx="316">
                        <c:v>0.58440414276376418</c:v>
                      </c:pt>
                      <c:pt idx="317">
                        <c:v>0.58858994190224478</c:v>
                      </c:pt>
                      <c:pt idx="318">
                        <c:v>0.58851077305335986</c:v>
                      </c:pt>
                      <c:pt idx="319">
                        <c:v>0.58730700055621188</c:v>
                      </c:pt>
                      <c:pt idx="320">
                        <c:v>0.59635254903393708</c:v>
                      </c:pt>
                      <c:pt idx="321">
                        <c:v>0.60187000881007191</c:v>
                      </c:pt>
                      <c:pt idx="322">
                        <c:v>0.58221989452273359</c:v>
                      </c:pt>
                      <c:pt idx="323">
                        <c:v>0.58488727573901078</c:v>
                      </c:pt>
                      <c:pt idx="324">
                        <c:v>0.58681168775806003</c:v>
                      </c:pt>
                      <c:pt idx="325">
                        <c:v>0.6010255410886326</c:v>
                      </c:pt>
                      <c:pt idx="326">
                        <c:v>0.60008972469540289</c:v>
                      </c:pt>
                      <c:pt idx="327">
                        <c:v>0.60979095363953406</c:v>
                      </c:pt>
                      <c:pt idx="328">
                        <c:v>0.60898302538681093</c:v>
                      </c:pt>
                      <c:pt idx="329">
                        <c:v>0.61545457129053338</c:v>
                      </c:pt>
                      <c:pt idx="330">
                        <c:v>0.62198092639733016</c:v>
                      </c:pt>
                      <c:pt idx="331">
                        <c:v>0.61393412339784581</c:v>
                      </c:pt>
                      <c:pt idx="332">
                        <c:v>0.61611025175693945</c:v>
                      </c:pt>
                      <c:pt idx="333">
                        <c:v>0.62303854101961353</c:v>
                      </c:pt>
                      <c:pt idx="334">
                        <c:v>0.62426261322160381</c:v>
                      </c:pt>
                      <c:pt idx="335">
                        <c:v>0.62046859838657942</c:v>
                      </c:pt>
                      <c:pt idx="336">
                        <c:v>0.62087053254245683</c:v>
                      </c:pt>
                      <c:pt idx="337">
                        <c:v>0.56602478999955341</c:v>
                      </c:pt>
                      <c:pt idx="338">
                        <c:v>0.46319054520947267</c:v>
                      </c:pt>
                      <c:pt idx="339">
                        <c:v>0.60054037814290184</c:v>
                      </c:pt>
                      <c:pt idx="340">
                        <c:v>0.65706084633529427</c:v>
                      </c:pt>
                      <c:pt idx="341">
                        <c:v>0.66938885708601792</c:v>
                      </c:pt>
                      <c:pt idx="342">
                        <c:v>0.67308949327876777</c:v>
                      </c:pt>
                      <c:pt idx="343">
                        <c:v>0.69137140745973558</c:v>
                      </c:pt>
                      <c:pt idx="344">
                        <c:v>0.68743529469081521</c:v>
                      </c:pt>
                      <c:pt idx="345">
                        <c:v>0.68198685391114411</c:v>
                      </c:pt>
                      <c:pt idx="346">
                        <c:v>0.69796272162202766</c:v>
                      </c:pt>
                      <c:pt idx="347">
                        <c:v>0.72974190955263507</c:v>
                      </c:pt>
                      <c:pt idx="348">
                        <c:v>0.70376031732498612</c:v>
                      </c:pt>
                      <c:pt idx="349">
                        <c:v>0.80688687786479585</c:v>
                      </c:pt>
                      <c:pt idx="350">
                        <c:v>0.81214856135991786</c:v>
                      </c:pt>
                      <c:pt idx="351">
                        <c:v>0.80076042694339222</c:v>
                      </c:pt>
                      <c:pt idx="352">
                        <c:v>0.80799321177870076</c:v>
                      </c:pt>
                      <c:pt idx="353">
                        <c:v>0.78454299274488548</c:v>
                      </c:pt>
                      <c:pt idx="354">
                        <c:v>0.79241318831224195</c:v>
                      </c:pt>
                      <c:pt idx="355">
                        <c:v>0.80088628511341442</c:v>
                      </c:pt>
                      <c:pt idx="356">
                        <c:v>0.81856732803105048</c:v>
                      </c:pt>
                      <c:pt idx="357">
                        <c:v>0.83018078917132543</c:v>
                      </c:pt>
                      <c:pt idx="358">
                        <c:v>0.82245675147883346</c:v>
                      </c:pt>
                      <c:pt idx="359">
                        <c:v>0.84880576836412802</c:v>
                      </c:pt>
                      <c:pt idx="360">
                        <c:v>0.85595126446861458</c:v>
                      </c:pt>
                      <c:pt idx="361">
                        <c:v>0.87768818841374041</c:v>
                      </c:pt>
                      <c:pt idx="362">
                        <c:v>0.89079773780089233</c:v>
                      </c:pt>
                      <c:pt idx="363">
                        <c:v>0.88856680023872447</c:v>
                      </c:pt>
                      <c:pt idx="364">
                        <c:v>0.9001619916446415</c:v>
                      </c:pt>
                      <c:pt idx="365">
                        <c:v>0.88739550726932426</c:v>
                      </c:pt>
                      <c:pt idx="366">
                        <c:v>0.89131132033340232</c:v>
                      </c:pt>
                      <c:pt idx="367">
                        <c:v>0.88775887198600134</c:v>
                      </c:pt>
                      <c:pt idx="368">
                        <c:v>0.8990455078783155</c:v>
                      </c:pt>
                      <c:pt idx="369">
                        <c:v>0.88148626318973322</c:v>
                      </c:pt>
                      <c:pt idx="370">
                        <c:v>0.86679536679536684</c:v>
                      </c:pt>
                      <c:pt idx="371">
                        <c:v>0.91317004250758194</c:v>
                      </c:pt>
                      <c:pt idx="372">
                        <c:v>0.90139824366953702</c:v>
                      </c:pt>
                      <c:pt idx="373">
                        <c:v>0.88647187069900002</c:v>
                      </c:pt>
                      <c:pt idx="374">
                        <c:v>0.89674758129016807</c:v>
                      </c:pt>
                      <c:pt idx="375">
                        <c:v>0.90164387009812874</c:v>
                      </c:pt>
                      <c:pt idx="376">
                        <c:v>0.90648331973253105</c:v>
                      </c:pt>
                      <c:pt idx="377">
                        <c:v>0.90767491240677356</c:v>
                      </c:pt>
                      <c:pt idx="378">
                        <c:v>0.91972075726018943</c:v>
                      </c:pt>
                      <c:pt idx="379">
                        <c:v>0.92736359613331221</c:v>
                      </c:pt>
                      <c:pt idx="380">
                        <c:v>0.92038252763804818</c:v>
                      </c:pt>
                      <c:pt idx="381">
                        <c:v>0.91642408519380125</c:v>
                      </c:pt>
                      <c:pt idx="382">
                        <c:v>0.91782273485743515</c:v>
                      </c:pt>
                      <c:pt idx="383">
                        <c:v>0.9070395316452099</c:v>
                      </c:pt>
                      <c:pt idx="384">
                        <c:v>0.91569126584899452</c:v>
                      </c:pt>
                      <c:pt idx="385">
                        <c:v>0.92130007429691974</c:v>
                      </c:pt>
                      <c:pt idx="386">
                        <c:v>0.92070529294504055</c:v>
                      </c:pt>
                      <c:pt idx="387">
                        <c:v>0.93023803433898067</c:v>
                      </c:pt>
                      <c:pt idx="388">
                        <c:v>0.92944025593867863</c:v>
                      </c:pt>
                      <c:pt idx="389">
                        <c:v>0.94128513371415579</c:v>
                      </c:pt>
                      <c:pt idx="390">
                        <c:v>0.93679280903255668</c:v>
                      </c:pt>
                      <c:pt idx="391">
                        <c:v>0.94729384634747416</c:v>
                      </c:pt>
                      <c:pt idx="392">
                        <c:v>0.95540966834342234</c:v>
                      </c:pt>
                      <c:pt idx="393">
                        <c:v>0.9626607229130888</c:v>
                      </c:pt>
                      <c:pt idx="394">
                        <c:v>0.97374233178649583</c:v>
                      </c:pt>
                      <c:pt idx="395">
                        <c:v>0.96190760386343988</c:v>
                      </c:pt>
                      <c:pt idx="396">
                        <c:v>0.96341181199225367</c:v>
                      </c:pt>
                      <c:pt idx="397">
                        <c:v>0.98047777385316814</c:v>
                      </c:pt>
                      <c:pt idx="398">
                        <c:v>0.97722982107840151</c:v>
                      </c:pt>
                      <c:pt idx="399">
                        <c:v>0.96609746294288878</c:v>
                      </c:pt>
                      <c:pt idx="400">
                        <c:v>0.97849855263104479</c:v>
                      </c:pt>
                      <c:pt idx="401">
                        <c:v>0.98783844682898314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542-4FC2-A1E6-C379A5B1ABB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FinalData!$D$1</c15:sqref>
                        </c15:formulaRef>
                      </c:ext>
                    </c:extLst>
                    <c:strCache>
                      <c:ptCount val="1"/>
                      <c:pt idx="0">
                        <c:v>Lag4</c:v>
                      </c:pt>
                    </c:strCache>
                  </c:strRef>
                </c:tx>
                <c:spPr>
                  <a:ln w="317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FinalData!$J$2:$J$403</c15:sqref>
                        </c15:formulaRef>
                      </c:ext>
                    </c:extLst>
                    <c:numCache>
                      <c:formatCode>m/d/yyyy</c:formatCode>
                      <c:ptCount val="402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  <c:pt idx="396">
                        <c:v>45658</c:v>
                      </c:pt>
                      <c:pt idx="397">
                        <c:v>45689</c:v>
                      </c:pt>
                      <c:pt idx="398">
                        <c:v>45717</c:v>
                      </c:pt>
                      <c:pt idx="399">
                        <c:v>45748</c:v>
                      </c:pt>
                      <c:pt idx="400">
                        <c:v>45778</c:v>
                      </c:pt>
                      <c:pt idx="401">
                        <c:v>45809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FinalData!$D$2:$D$403</c15:sqref>
                        </c15:formulaRef>
                      </c:ext>
                    </c:extLst>
                    <c:numCache>
                      <c:formatCode>General</c:formatCode>
                      <c:ptCount val="402"/>
                      <c:pt idx="0">
                        <c:v>0</c:v>
                      </c:pt>
                      <c:pt idx="1">
                        <c:v>3.1241245752286761E-3</c:v>
                      </c:pt>
                      <c:pt idx="2">
                        <c:v>4.3015074560815887E-3</c:v>
                      </c:pt>
                      <c:pt idx="3">
                        <c:v>6.4004969367745393E-3</c:v>
                      </c:pt>
                      <c:pt idx="4">
                        <c:v>9.3845535485914035E-3</c:v>
                      </c:pt>
                      <c:pt idx="5">
                        <c:v>8.0183834127051795E-3</c:v>
                      </c:pt>
                      <c:pt idx="6">
                        <c:v>1.1798188454339874E-2</c:v>
                      </c:pt>
                      <c:pt idx="7">
                        <c:v>1.4668566719039905E-2</c:v>
                      </c:pt>
                      <c:pt idx="8">
                        <c:v>1.4232123064930637E-2</c:v>
                      </c:pt>
                      <c:pt idx="9">
                        <c:v>1.7169490355610228E-2</c:v>
                      </c:pt>
                      <c:pt idx="10">
                        <c:v>2.0723968673495487E-2</c:v>
                      </c:pt>
                      <c:pt idx="11">
                        <c:v>1.953237599925297E-2</c:v>
                      </c:pt>
                      <c:pt idx="12">
                        <c:v>1.7061901919946085E-2</c:v>
                      </c:pt>
                      <c:pt idx="13">
                        <c:v>2.5577628101287407E-2</c:v>
                      </c:pt>
                      <c:pt idx="14">
                        <c:v>2.7236113986902632E-2</c:v>
                      </c:pt>
                      <c:pt idx="15">
                        <c:v>2.6862599417804466E-2</c:v>
                      </c:pt>
                      <c:pt idx="16">
                        <c:v>3.2777933408848235E-2</c:v>
                      </c:pt>
                      <c:pt idx="17">
                        <c:v>3.1068698261127282E-2</c:v>
                      </c:pt>
                      <c:pt idx="18">
                        <c:v>3.3321965498621653E-2</c:v>
                      </c:pt>
                      <c:pt idx="19">
                        <c:v>3.5835068958097349E-2</c:v>
                      </c:pt>
                      <c:pt idx="20">
                        <c:v>4.0363933108412603E-2</c:v>
                      </c:pt>
                      <c:pt idx="21">
                        <c:v>4.2909516095635966E-2</c:v>
                      </c:pt>
                      <c:pt idx="22">
                        <c:v>4.1104872335156244E-2</c:v>
                      </c:pt>
                      <c:pt idx="23">
                        <c:v>4.659797246548035E-2</c:v>
                      </c:pt>
                      <c:pt idx="24">
                        <c:v>5.3205526391646267E-2</c:v>
                      </c:pt>
                      <c:pt idx="25">
                        <c:v>5.3067488398718686E-2</c:v>
                      </c:pt>
                      <c:pt idx="26">
                        <c:v>5.1342013487123896E-2</c:v>
                      </c:pt>
                      <c:pt idx="27">
                        <c:v>5.5249706669265028E-2</c:v>
                      </c:pt>
                      <c:pt idx="28">
                        <c:v>5.5609011444973593E-2</c:v>
                      </c:pt>
                      <c:pt idx="29">
                        <c:v>6.1329468269531361E-2</c:v>
                      </c:pt>
                      <c:pt idx="30">
                        <c:v>6.4751998505941724E-2</c:v>
                      </c:pt>
                      <c:pt idx="31">
                        <c:v>6.737269040108157E-2</c:v>
                      </c:pt>
                      <c:pt idx="32">
                        <c:v>6.8290237059953143E-2</c:v>
                      </c:pt>
                      <c:pt idx="33">
                        <c:v>6.9116435047034422E-2</c:v>
                      </c:pt>
                      <c:pt idx="34">
                        <c:v>7.1081446475768237E-2</c:v>
                      </c:pt>
                      <c:pt idx="35">
                        <c:v>6.5852242508393929E-2</c:v>
                      </c:pt>
                      <c:pt idx="36">
                        <c:v>6.9538668907754078E-2</c:v>
                      </c:pt>
                      <c:pt idx="37">
                        <c:v>6.9491979586616806E-2</c:v>
                      </c:pt>
                      <c:pt idx="38">
                        <c:v>7.490591086805598E-2</c:v>
                      </c:pt>
                      <c:pt idx="39">
                        <c:v>7.9700701151805248E-2</c:v>
                      </c:pt>
                      <c:pt idx="40">
                        <c:v>7.6933851381800908E-2</c:v>
                      </c:pt>
                      <c:pt idx="41">
                        <c:v>8.0522839197918056E-2</c:v>
                      </c:pt>
                      <c:pt idx="42">
                        <c:v>8.1105440726891825E-2</c:v>
                      </c:pt>
                      <c:pt idx="43">
                        <c:v>7.9759570295847904E-2</c:v>
                      </c:pt>
                      <c:pt idx="44">
                        <c:v>8.567896422786013E-2</c:v>
                      </c:pt>
                      <c:pt idx="45">
                        <c:v>8.6722369056753915E-2</c:v>
                      </c:pt>
                      <c:pt idx="46">
                        <c:v>8.6306225107486936E-2</c:v>
                      </c:pt>
                      <c:pt idx="47">
                        <c:v>9.227433833112067E-2</c:v>
                      </c:pt>
                      <c:pt idx="48">
                        <c:v>9.3616148821196135E-2</c:v>
                      </c:pt>
                      <c:pt idx="49">
                        <c:v>9.6744333337393268E-2</c:v>
                      </c:pt>
                      <c:pt idx="50">
                        <c:v>0.10032926121254197</c:v>
                      </c:pt>
                      <c:pt idx="51">
                        <c:v>9.7113787965522988E-2</c:v>
                      </c:pt>
                      <c:pt idx="52">
                        <c:v>9.9454343933839201E-2</c:v>
                      </c:pt>
                      <c:pt idx="53">
                        <c:v>9.9507123166429165E-2</c:v>
                      </c:pt>
                      <c:pt idx="54">
                        <c:v>0.10389997929430106</c:v>
                      </c:pt>
                      <c:pt idx="55">
                        <c:v>0.10819742680941419</c:v>
                      </c:pt>
                      <c:pt idx="56">
                        <c:v>0.10706064333824586</c:v>
                      </c:pt>
                      <c:pt idx="57">
                        <c:v>0.10799036982002282</c:v>
                      </c:pt>
                      <c:pt idx="58">
                        <c:v>0.1123121769809467</c:v>
                      </c:pt>
                      <c:pt idx="59">
                        <c:v>0.11524345436017361</c:v>
                      </c:pt>
                      <c:pt idx="60">
                        <c:v>0.11820924123763241</c:v>
                      </c:pt>
                      <c:pt idx="61">
                        <c:v>0.11183513391715284</c:v>
                      </c:pt>
                      <c:pt idx="62">
                        <c:v>0.11127689203398983</c:v>
                      </c:pt>
                      <c:pt idx="63">
                        <c:v>0.11609604196354985</c:v>
                      </c:pt>
                      <c:pt idx="64">
                        <c:v>0.12104916994506899</c:v>
                      </c:pt>
                      <c:pt idx="65">
                        <c:v>0.1213353957833453</c:v>
                      </c:pt>
                      <c:pt idx="66">
                        <c:v>0.12356836331599738</c:v>
                      </c:pt>
                      <c:pt idx="67">
                        <c:v>0.12369625145650383</c:v>
                      </c:pt>
                      <c:pt idx="68">
                        <c:v>0.12313394963237234</c:v>
                      </c:pt>
                      <c:pt idx="69">
                        <c:v>0.12528368837517104</c:v>
                      </c:pt>
                      <c:pt idx="70">
                        <c:v>0.12663970865863611</c:v>
                      </c:pt>
                      <c:pt idx="71">
                        <c:v>0.12603477745433581</c:v>
                      </c:pt>
                      <c:pt idx="72">
                        <c:v>0.12827586486892481</c:v>
                      </c:pt>
                      <c:pt idx="73">
                        <c:v>0.13512092534174552</c:v>
                      </c:pt>
                      <c:pt idx="74">
                        <c:v>0.13609937111514397</c:v>
                      </c:pt>
                      <c:pt idx="75">
                        <c:v>0.14027502040120338</c:v>
                      </c:pt>
                      <c:pt idx="76">
                        <c:v>0.13710014656386896</c:v>
                      </c:pt>
                      <c:pt idx="77">
                        <c:v>0.13320057326366475</c:v>
                      </c:pt>
                      <c:pt idx="78">
                        <c:v>0.13802175316370899</c:v>
                      </c:pt>
                      <c:pt idx="79">
                        <c:v>0.14549610448664077</c:v>
                      </c:pt>
                      <c:pt idx="80">
                        <c:v>0.14833806316456158</c:v>
                      </c:pt>
                      <c:pt idx="81">
                        <c:v>0.1528080581708342</c:v>
                      </c:pt>
                      <c:pt idx="82">
                        <c:v>0.15389206240941256</c:v>
                      </c:pt>
                      <c:pt idx="83">
                        <c:v>0.15965514861413915</c:v>
                      </c:pt>
                      <c:pt idx="84">
                        <c:v>0.16255800640658685</c:v>
                      </c:pt>
                      <c:pt idx="85">
                        <c:v>0.16588309805975421</c:v>
                      </c:pt>
                      <c:pt idx="86">
                        <c:v>0.16941524670231295</c:v>
                      </c:pt>
                      <c:pt idx="87">
                        <c:v>0.17123613022666651</c:v>
                      </c:pt>
                      <c:pt idx="88">
                        <c:v>0.17519457267091337</c:v>
                      </c:pt>
                      <c:pt idx="89">
                        <c:v>0.18022483953083321</c:v>
                      </c:pt>
                      <c:pt idx="90">
                        <c:v>0.18227510971990468</c:v>
                      </c:pt>
                      <c:pt idx="91">
                        <c:v>0.18093938914128188</c:v>
                      </c:pt>
                      <c:pt idx="92">
                        <c:v>0.18737642554677256</c:v>
                      </c:pt>
                      <c:pt idx="93">
                        <c:v>0.19785919312733194</c:v>
                      </c:pt>
                      <c:pt idx="94">
                        <c:v>0.1937018135756306</c:v>
                      </c:pt>
                      <c:pt idx="95">
                        <c:v>0.20182169551254725</c:v>
                      </c:pt>
                      <c:pt idx="96">
                        <c:v>0.2078953672013609</c:v>
                      </c:pt>
                      <c:pt idx="97">
                        <c:v>0.19778408421941546</c:v>
                      </c:pt>
                      <c:pt idx="98">
                        <c:v>0.2018318453649684</c:v>
                      </c:pt>
                      <c:pt idx="99">
                        <c:v>0.20524219577847339</c:v>
                      </c:pt>
                      <c:pt idx="100">
                        <c:v>0.20068085210041045</c:v>
                      </c:pt>
                      <c:pt idx="101">
                        <c:v>0.2033989825787933</c:v>
                      </c:pt>
                      <c:pt idx="102">
                        <c:v>0.20989894806929507</c:v>
                      </c:pt>
                      <c:pt idx="103">
                        <c:v>0.20965332164070336</c:v>
                      </c:pt>
                      <c:pt idx="104">
                        <c:v>0.20650077747869547</c:v>
                      </c:pt>
                      <c:pt idx="105">
                        <c:v>0.206496717537727</c:v>
                      </c:pt>
                      <c:pt idx="106">
                        <c:v>0.21359146438010793</c:v>
                      </c:pt>
                      <c:pt idx="107">
                        <c:v>0.21348996585589647</c:v>
                      </c:pt>
                      <c:pt idx="108">
                        <c:v>0.20785679776216054</c:v>
                      </c:pt>
                      <c:pt idx="109">
                        <c:v>0.21719263201913044</c:v>
                      </c:pt>
                      <c:pt idx="110">
                        <c:v>0.21950070845969899</c:v>
                      </c:pt>
                      <c:pt idx="111">
                        <c:v>0.21663033019499897</c:v>
                      </c:pt>
                      <c:pt idx="112">
                        <c:v>0.21358537446865522</c:v>
                      </c:pt>
                      <c:pt idx="113">
                        <c:v>0.21816092794010775</c:v>
                      </c:pt>
                      <c:pt idx="114">
                        <c:v>0.20504731861198738</c:v>
                      </c:pt>
                      <c:pt idx="115">
                        <c:v>0.24510269620679714</c:v>
                      </c:pt>
                      <c:pt idx="116">
                        <c:v>0.22728361529623359</c:v>
                      </c:pt>
                      <c:pt idx="117">
                        <c:v>0.21874758941004999</c:v>
                      </c:pt>
                      <c:pt idx="118">
                        <c:v>0.2202172880406319</c:v>
                      </c:pt>
                      <c:pt idx="119">
                        <c:v>0.22361951857219997</c:v>
                      </c:pt>
                      <c:pt idx="120">
                        <c:v>0.22212343032532306</c:v>
                      </c:pt>
                      <c:pt idx="121">
                        <c:v>0.22821537174849477</c:v>
                      </c:pt>
                      <c:pt idx="122">
                        <c:v>0.22384484529594939</c:v>
                      </c:pt>
                      <c:pt idx="123">
                        <c:v>0.22640666804704659</c:v>
                      </c:pt>
                      <c:pt idx="124">
                        <c:v>0.2338911692223995</c:v>
                      </c:pt>
                      <c:pt idx="125">
                        <c:v>0.23736444872091561</c:v>
                      </c:pt>
                      <c:pt idx="126">
                        <c:v>0.22727752538478091</c:v>
                      </c:pt>
                      <c:pt idx="127">
                        <c:v>0.23143896487745069</c:v>
                      </c:pt>
                      <c:pt idx="128">
                        <c:v>0.23188352841349688</c:v>
                      </c:pt>
                      <c:pt idx="129">
                        <c:v>0.23768112411645534</c:v>
                      </c:pt>
                      <c:pt idx="130">
                        <c:v>0.24212269953594875</c:v>
                      </c:pt>
                      <c:pt idx="131">
                        <c:v>0.2342809235553715</c:v>
                      </c:pt>
                      <c:pt idx="132">
                        <c:v>0.24044188397500701</c:v>
                      </c:pt>
                      <c:pt idx="133">
                        <c:v>0.2420841300967484</c:v>
                      </c:pt>
                      <c:pt idx="134">
                        <c:v>0.24211863959498028</c:v>
                      </c:pt>
                      <c:pt idx="135">
                        <c:v>0.25011469333235897</c:v>
                      </c:pt>
                      <c:pt idx="136">
                        <c:v>0.25488918391126592</c:v>
                      </c:pt>
                      <c:pt idx="137">
                        <c:v>0.26083496745957313</c:v>
                      </c:pt>
                      <c:pt idx="138">
                        <c:v>0.26002297926588147</c:v>
                      </c:pt>
                      <c:pt idx="139">
                        <c:v>0.25768445326804951</c:v>
                      </c:pt>
                      <c:pt idx="140">
                        <c:v>0.25991945077118578</c:v>
                      </c:pt>
                      <c:pt idx="141">
                        <c:v>0.26273907977378008</c:v>
                      </c:pt>
                      <c:pt idx="142">
                        <c:v>0.26459650276684976</c:v>
                      </c:pt>
                      <c:pt idx="143">
                        <c:v>0.26844329683446405</c:v>
                      </c:pt>
                      <c:pt idx="144">
                        <c:v>0.2792670994563739</c:v>
                      </c:pt>
                      <c:pt idx="145">
                        <c:v>0.27507115046547226</c:v>
                      </c:pt>
                      <c:pt idx="146">
                        <c:v>0.28249272255581404</c:v>
                      </c:pt>
                      <c:pt idx="147">
                        <c:v>0.27814858571956363</c:v>
                      </c:pt>
                      <c:pt idx="148">
                        <c:v>0.28263279051922585</c:v>
                      </c:pt>
                      <c:pt idx="149">
                        <c:v>0.28193448067265103</c:v>
                      </c:pt>
                      <c:pt idx="150">
                        <c:v>0.29383010771023388</c:v>
                      </c:pt>
                      <c:pt idx="151">
                        <c:v>0.29552310309408103</c:v>
                      </c:pt>
                      <c:pt idx="152">
                        <c:v>0.29954041468237053</c:v>
                      </c:pt>
                      <c:pt idx="153">
                        <c:v>0.30709596482467144</c:v>
                      </c:pt>
                      <c:pt idx="154">
                        <c:v>0.30041736193155749</c:v>
                      </c:pt>
                      <c:pt idx="155">
                        <c:v>0.30772322570429828</c:v>
                      </c:pt>
                      <c:pt idx="156">
                        <c:v>0.30982018521450699</c:v>
                      </c:pt>
                      <c:pt idx="157">
                        <c:v>0.31471241408149925</c:v>
                      </c:pt>
                      <c:pt idx="158">
                        <c:v>0.31097929836100185</c:v>
                      </c:pt>
                      <c:pt idx="159">
                        <c:v>0.33081008002143647</c:v>
                      </c:pt>
                      <c:pt idx="160">
                        <c:v>0.33535112399465711</c:v>
                      </c:pt>
                      <c:pt idx="161">
                        <c:v>0.32702012512738066</c:v>
                      </c:pt>
                      <c:pt idx="162">
                        <c:v>0.32899122646756718</c:v>
                      </c:pt>
                      <c:pt idx="163">
                        <c:v>0.32858929231168976</c:v>
                      </c:pt>
                      <c:pt idx="164">
                        <c:v>0.33382052624954833</c:v>
                      </c:pt>
                      <c:pt idx="165">
                        <c:v>0.3341392316155723</c:v>
                      </c:pt>
                      <c:pt idx="166">
                        <c:v>0.35209026060761078</c:v>
                      </c:pt>
                      <c:pt idx="167">
                        <c:v>0.34777454335813957</c:v>
                      </c:pt>
                      <c:pt idx="168">
                        <c:v>0.34986744292737981</c:v>
                      </c:pt>
                      <c:pt idx="169">
                        <c:v>0.35316208502328378</c:v>
                      </c:pt>
                      <c:pt idx="170">
                        <c:v>0.35077686970431449</c:v>
                      </c:pt>
                      <c:pt idx="171">
                        <c:v>0.35495657893134236</c:v>
                      </c:pt>
                      <c:pt idx="172">
                        <c:v>0.35699872923847686</c:v>
                      </c:pt>
                      <c:pt idx="173">
                        <c:v>0.35865924509457631</c:v>
                      </c:pt>
                      <c:pt idx="174">
                        <c:v>0.35378325599145788</c:v>
                      </c:pt>
                      <c:pt idx="175">
                        <c:v>0.35326561351797947</c:v>
                      </c:pt>
                      <c:pt idx="176">
                        <c:v>0.35525092465155556</c:v>
                      </c:pt>
                      <c:pt idx="177">
                        <c:v>0.36172450052576238</c:v>
                      </c:pt>
                      <c:pt idx="178">
                        <c:v>0.36171029073237276</c:v>
                      </c:pt>
                      <c:pt idx="179">
                        <c:v>0.36400212740906746</c:v>
                      </c:pt>
                      <c:pt idx="180">
                        <c:v>0.3686182802902046</c:v>
                      </c:pt>
                      <c:pt idx="181">
                        <c:v>0.36693340478829439</c:v>
                      </c:pt>
                      <c:pt idx="182">
                        <c:v>0.37584091527309194</c:v>
                      </c:pt>
                      <c:pt idx="183">
                        <c:v>0.3693653094284009</c:v>
                      </c:pt>
                      <c:pt idx="184">
                        <c:v>0.37216463872615291</c:v>
                      </c:pt>
                      <c:pt idx="185">
                        <c:v>0.3762022500192847</c:v>
                      </c:pt>
                      <c:pt idx="186">
                        <c:v>0.37868693389198121</c:v>
                      </c:pt>
                      <c:pt idx="187">
                        <c:v>0.38249515852039512</c:v>
                      </c:pt>
                      <c:pt idx="188">
                        <c:v>0.38955336589405992</c:v>
                      </c:pt>
                      <c:pt idx="189">
                        <c:v>0.37988664644816067</c:v>
                      </c:pt>
                      <c:pt idx="190">
                        <c:v>0.38236118046843598</c:v>
                      </c:pt>
                      <c:pt idx="191">
                        <c:v>0.3770649874750821</c:v>
                      </c:pt>
                      <c:pt idx="192">
                        <c:v>0.37833168905724113</c:v>
                      </c:pt>
                      <c:pt idx="193">
                        <c:v>0.37740602251643263</c:v>
                      </c:pt>
                      <c:pt idx="194">
                        <c:v>0.38359946246381577</c:v>
                      </c:pt>
                      <c:pt idx="195">
                        <c:v>0.38497172251115469</c:v>
                      </c:pt>
                      <c:pt idx="196">
                        <c:v>0.38200187569272742</c:v>
                      </c:pt>
                      <c:pt idx="197">
                        <c:v>0.37590181438761883</c:v>
                      </c:pt>
                      <c:pt idx="198">
                        <c:v>0.3642741434539542</c:v>
                      </c:pt>
                      <c:pt idx="199">
                        <c:v>0.33869651535266676</c:v>
                      </c:pt>
                      <c:pt idx="200">
                        <c:v>0.31114575594070865</c:v>
                      </c:pt>
                      <c:pt idx="201">
                        <c:v>0.29526123690161543</c:v>
                      </c:pt>
                      <c:pt idx="202">
                        <c:v>0.30516343292368531</c:v>
                      </c:pt>
                      <c:pt idx="203">
                        <c:v>0.30309286302977156</c:v>
                      </c:pt>
                      <c:pt idx="204">
                        <c:v>0.29211681262154449</c:v>
                      </c:pt>
                      <c:pt idx="205">
                        <c:v>0.29517800811176204</c:v>
                      </c:pt>
                      <c:pt idx="206">
                        <c:v>0.30062847886191735</c:v>
                      </c:pt>
                      <c:pt idx="207">
                        <c:v>0.31127161411073084</c:v>
                      </c:pt>
                      <c:pt idx="208">
                        <c:v>0.31425567072254768</c:v>
                      </c:pt>
                      <c:pt idx="209">
                        <c:v>0.32631978531032158</c:v>
                      </c:pt>
                      <c:pt idx="210">
                        <c:v>0.3092233738921436</c:v>
                      </c:pt>
                      <c:pt idx="211">
                        <c:v>0.31656780710408472</c:v>
                      </c:pt>
                      <c:pt idx="212">
                        <c:v>0.32167521284240524</c:v>
                      </c:pt>
                      <c:pt idx="213">
                        <c:v>0.32446845222870457</c:v>
                      </c:pt>
                      <c:pt idx="214">
                        <c:v>0.32521142142593246</c:v>
                      </c:pt>
                      <c:pt idx="215">
                        <c:v>0.32518097186866901</c:v>
                      </c:pt>
                      <c:pt idx="216">
                        <c:v>0.33982720891238244</c:v>
                      </c:pt>
                      <c:pt idx="217">
                        <c:v>0.34514167164009435</c:v>
                      </c:pt>
                      <c:pt idx="218">
                        <c:v>0.33908220974467029</c:v>
                      </c:pt>
                      <c:pt idx="219">
                        <c:v>0.3379251265686597</c:v>
                      </c:pt>
                      <c:pt idx="220">
                        <c:v>0.33986374838109856</c:v>
                      </c:pt>
                      <c:pt idx="221">
                        <c:v>0.34233625243088966</c:v>
                      </c:pt>
                      <c:pt idx="222">
                        <c:v>0.34847488317519865</c:v>
                      </c:pt>
                      <c:pt idx="223">
                        <c:v>0.35642018765047156</c:v>
                      </c:pt>
                      <c:pt idx="224">
                        <c:v>0.36250197922122213</c:v>
                      </c:pt>
                      <c:pt idx="225">
                        <c:v>0.36803567876123083</c:v>
                      </c:pt>
                      <c:pt idx="226">
                        <c:v>0.37260920226219912</c:v>
                      </c:pt>
                      <c:pt idx="227">
                        <c:v>0.37743038216224334</c:v>
                      </c:pt>
                      <c:pt idx="228">
                        <c:v>0.38374765030916452</c:v>
                      </c:pt>
                      <c:pt idx="229">
                        <c:v>0.38786443045118124</c:v>
                      </c:pt>
                      <c:pt idx="230">
                        <c:v>0.38628105347348252</c:v>
                      </c:pt>
                      <c:pt idx="231">
                        <c:v>0.39175994381041701</c:v>
                      </c:pt>
                      <c:pt idx="232">
                        <c:v>0.39138236930035036</c:v>
                      </c:pt>
                      <c:pt idx="233">
                        <c:v>0.39187159218704959</c:v>
                      </c:pt>
                      <c:pt idx="234">
                        <c:v>0.39968291861036342</c:v>
                      </c:pt>
                      <c:pt idx="235">
                        <c:v>0.40383826819158047</c:v>
                      </c:pt>
                      <c:pt idx="236">
                        <c:v>0.40618491407134938</c:v>
                      </c:pt>
                      <c:pt idx="237">
                        <c:v>0.40796925812698681</c:v>
                      </c:pt>
                      <c:pt idx="238">
                        <c:v>0.41317207247806614</c:v>
                      </c:pt>
                      <c:pt idx="239">
                        <c:v>0.42269060407861669</c:v>
                      </c:pt>
                      <c:pt idx="240">
                        <c:v>0.42553865266799018</c:v>
                      </c:pt>
                      <c:pt idx="241">
                        <c:v>0.42142593246694193</c:v>
                      </c:pt>
                      <c:pt idx="242">
                        <c:v>0.42009021188831913</c:v>
                      </c:pt>
                      <c:pt idx="243">
                        <c:v>0.41252857183456554</c:v>
                      </c:pt>
                      <c:pt idx="244">
                        <c:v>0.4157704346978795</c:v>
                      </c:pt>
                      <c:pt idx="245">
                        <c:v>0.42560767166445401</c:v>
                      </c:pt>
                      <c:pt idx="246">
                        <c:v>0.43127737922690607</c:v>
                      </c:pt>
                      <c:pt idx="247">
                        <c:v>0.43162653415019347</c:v>
                      </c:pt>
                      <c:pt idx="248">
                        <c:v>0.43449082250344079</c:v>
                      </c:pt>
                      <c:pt idx="249">
                        <c:v>0.43725361233247667</c:v>
                      </c:pt>
                      <c:pt idx="250">
                        <c:v>0.44281167151829615</c:v>
                      </c:pt>
                      <c:pt idx="251">
                        <c:v>0.45290062482491505</c:v>
                      </c:pt>
                      <c:pt idx="252">
                        <c:v>0.44665034570397344</c:v>
                      </c:pt>
                      <c:pt idx="253">
                        <c:v>0.44330292437547958</c:v>
                      </c:pt>
                      <c:pt idx="254">
                        <c:v>0.44805914522002849</c:v>
                      </c:pt>
                      <c:pt idx="255">
                        <c:v>0.45077727569841136</c:v>
                      </c:pt>
                      <c:pt idx="256">
                        <c:v>0.45496307483689186</c:v>
                      </c:pt>
                      <c:pt idx="257">
                        <c:v>0.45354209549793145</c:v>
                      </c:pt>
                      <c:pt idx="258">
                        <c:v>0.45379584180846011</c:v>
                      </c:pt>
                      <c:pt idx="259">
                        <c:v>0.45537109890422195</c:v>
                      </c:pt>
                      <c:pt idx="260">
                        <c:v>0.45623180638953509</c:v>
                      </c:pt>
                      <c:pt idx="261">
                        <c:v>0.46157265873354203</c:v>
                      </c:pt>
                      <c:pt idx="262">
                        <c:v>0.45585829182043691</c:v>
                      </c:pt>
                      <c:pt idx="263">
                        <c:v>0.46529968454258674</c:v>
                      </c:pt>
                      <c:pt idx="264">
                        <c:v>0.47331806795529191</c:v>
                      </c:pt>
                      <c:pt idx="265">
                        <c:v>0.48173635555339023</c:v>
                      </c:pt>
                      <c:pt idx="266">
                        <c:v>0.48245699507529161</c:v>
                      </c:pt>
                      <c:pt idx="267">
                        <c:v>0.48414390054768602</c:v>
                      </c:pt>
                      <c:pt idx="268">
                        <c:v>0.4850106979444519</c:v>
                      </c:pt>
                      <c:pt idx="269">
                        <c:v>0.49104377022358092</c:v>
                      </c:pt>
                      <c:pt idx="270">
                        <c:v>0.48751162158102224</c:v>
                      </c:pt>
                      <c:pt idx="271">
                        <c:v>0.48963497070752593</c:v>
                      </c:pt>
                      <c:pt idx="272">
                        <c:v>0.49194101717761024</c:v>
                      </c:pt>
                      <c:pt idx="273">
                        <c:v>0.48427381865867669</c:v>
                      </c:pt>
                      <c:pt idx="274">
                        <c:v>0.47988096253080481</c:v>
                      </c:pt>
                      <c:pt idx="275">
                        <c:v>0.47800526980337704</c:v>
                      </c:pt>
                      <c:pt idx="276">
                        <c:v>0.49036170014087993</c:v>
                      </c:pt>
                      <c:pt idx="277">
                        <c:v>0.49079205388353653</c:v>
                      </c:pt>
                      <c:pt idx="278">
                        <c:v>0.49741381760309206</c:v>
                      </c:pt>
                      <c:pt idx="279">
                        <c:v>0.49750313630439813</c:v>
                      </c:pt>
                      <c:pt idx="280">
                        <c:v>0.50512364550219435</c:v>
                      </c:pt>
                      <c:pt idx="281">
                        <c:v>0.50434616680673461</c:v>
                      </c:pt>
                      <c:pt idx="282">
                        <c:v>0.50024765639907598</c:v>
                      </c:pt>
                      <c:pt idx="283">
                        <c:v>0.49723315022999565</c:v>
                      </c:pt>
                      <c:pt idx="284">
                        <c:v>0.50020502701890712</c:v>
                      </c:pt>
                      <c:pt idx="285">
                        <c:v>0.50227762688330513</c:v>
                      </c:pt>
                      <c:pt idx="286">
                        <c:v>0.49807964792191922</c:v>
                      </c:pt>
                      <c:pt idx="287">
                        <c:v>0.50324795277476664</c:v>
                      </c:pt>
                      <c:pt idx="288">
                        <c:v>0.50115505320552645</c:v>
                      </c:pt>
                      <c:pt idx="289">
                        <c:v>0.50544641080918684</c:v>
                      </c:pt>
                      <c:pt idx="290">
                        <c:v>0.50785598577396684</c:v>
                      </c:pt>
                      <c:pt idx="291">
                        <c:v>0.517628263685046</c:v>
                      </c:pt>
                      <c:pt idx="292">
                        <c:v>0.51647524045000381</c:v>
                      </c:pt>
                      <c:pt idx="293">
                        <c:v>0.51596368788797808</c:v>
                      </c:pt>
                      <c:pt idx="294">
                        <c:v>0.52104673398048795</c:v>
                      </c:pt>
                      <c:pt idx="295">
                        <c:v>0.52275190918724046</c:v>
                      </c:pt>
                      <c:pt idx="296">
                        <c:v>0.52080922743383307</c:v>
                      </c:pt>
                      <c:pt idx="297">
                        <c:v>0.53387005752936356</c:v>
                      </c:pt>
                      <c:pt idx="298">
                        <c:v>0.54027461440710656</c:v>
                      </c:pt>
                      <c:pt idx="299">
                        <c:v>0.54004319777190435</c:v>
                      </c:pt>
                      <c:pt idx="300">
                        <c:v>0.53897746326768414</c:v>
                      </c:pt>
                      <c:pt idx="301">
                        <c:v>0.54203053887596475</c:v>
                      </c:pt>
                      <c:pt idx="302">
                        <c:v>0.53690486340328614</c:v>
                      </c:pt>
                      <c:pt idx="303">
                        <c:v>0.54189453085352135</c:v>
                      </c:pt>
                      <c:pt idx="304">
                        <c:v>0.54198790949579589</c:v>
                      </c:pt>
                      <c:pt idx="305">
                        <c:v>0.54298868494452091</c:v>
                      </c:pt>
                      <c:pt idx="306">
                        <c:v>0.56210085705353841</c:v>
                      </c:pt>
                      <c:pt idx="307">
                        <c:v>0.5620561977028854</c:v>
                      </c:pt>
                      <c:pt idx="308">
                        <c:v>0.57063282299875362</c:v>
                      </c:pt>
                      <c:pt idx="309">
                        <c:v>0.57534438449264946</c:v>
                      </c:pt>
                      <c:pt idx="310">
                        <c:v>0.57058816364810061</c:v>
                      </c:pt>
                      <c:pt idx="311">
                        <c:v>0.5752672456142488</c:v>
                      </c:pt>
                      <c:pt idx="312">
                        <c:v>0.57441465801087255</c:v>
                      </c:pt>
                      <c:pt idx="313">
                        <c:v>0.57606299404406658</c:v>
                      </c:pt>
                      <c:pt idx="314">
                        <c:v>0.58913803393298658</c:v>
                      </c:pt>
                      <c:pt idx="315">
                        <c:v>0.58440414276376418</c:v>
                      </c:pt>
                      <c:pt idx="316">
                        <c:v>0.58858994190224478</c:v>
                      </c:pt>
                      <c:pt idx="317">
                        <c:v>0.58851077305335986</c:v>
                      </c:pt>
                      <c:pt idx="318">
                        <c:v>0.58730700055621188</c:v>
                      </c:pt>
                      <c:pt idx="319">
                        <c:v>0.59635254903393708</c:v>
                      </c:pt>
                      <c:pt idx="320">
                        <c:v>0.60187000881007191</c:v>
                      </c:pt>
                      <c:pt idx="321">
                        <c:v>0.58221989452273359</c:v>
                      </c:pt>
                      <c:pt idx="322">
                        <c:v>0.58488727573901078</c:v>
                      </c:pt>
                      <c:pt idx="323">
                        <c:v>0.58681168775806003</c:v>
                      </c:pt>
                      <c:pt idx="324">
                        <c:v>0.6010255410886326</c:v>
                      </c:pt>
                      <c:pt idx="325">
                        <c:v>0.60008972469540289</c:v>
                      </c:pt>
                      <c:pt idx="326">
                        <c:v>0.60979095363953406</c:v>
                      </c:pt>
                      <c:pt idx="327">
                        <c:v>0.60898302538681093</c:v>
                      </c:pt>
                      <c:pt idx="328">
                        <c:v>0.61545457129053338</c:v>
                      </c:pt>
                      <c:pt idx="329">
                        <c:v>0.62198092639733016</c:v>
                      </c:pt>
                      <c:pt idx="330">
                        <c:v>0.61393412339784581</c:v>
                      </c:pt>
                      <c:pt idx="331">
                        <c:v>0.61611025175693945</c:v>
                      </c:pt>
                      <c:pt idx="332">
                        <c:v>0.62303854101961353</c:v>
                      </c:pt>
                      <c:pt idx="333">
                        <c:v>0.62426261322160381</c:v>
                      </c:pt>
                      <c:pt idx="334">
                        <c:v>0.62046859838657942</c:v>
                      </c:pt>
                      <c:pt idx="335">
                        <c:v>0.62087053254245683</c:v>
                      </c:pt>
                      <c:pt idx="336">
                        <c:v>0.56602478999955341</c:v>
                      </c:pt>
                      <c:pt idx="337">
                        <c:v>0.46319054520947267</c:v>
                      </c:pt>
                      <c:pt idx="338">
                        <c:v>0.60054037814290184</c:v>
                      </c:pt>
                      <c:pt idx="339">
                        <c:v>0.65706084633529427</c:v>
                      </c:pt>
                      <c:pt idx="340">
                        <c:v>0.66938885708601792</c:v>
                      </c:pt>
                      <c:pt idx="341">
                        <c:v>0.67308949327876777</c:v>
                      </c:pt>
                      <c:pt idx="342">
                        <c:v>0.69137140745973558</c:v>
                      </c:pt>
                      <c:pt idx="343">
                        <c:v>0.68743529469081521</c:v>
                      </c:pt>
                      <c:pt idx="344">
                        <c:v>0.68198685391114411</c:v>
                      </c:pt>
                      <c:pt idx="345">
                        <c:v>0.69796272162202766</c:v>
                      </c:pt>
                      <c:pt idx="346">
                        <c:v>0.72974190955263507</c:v>
                      </c:pt>
                      <c:pt idx="347">
                        <c:v>0.70376031732498612</c:v>
                      </c:pt>
                      <c:pt idx="348">
                        <c:v>0.80688687786479585</c:v>
                      </c:pt>
                      <c:pt idx="349">
                        <c:v>0.81214856135991786</c:v>
                      </c:pt>
                      <c:pt idx="350">
                        <c:v>0.80076042694339222</c:v>
                      </c:pt>
                      <c:pt idx="351">
                        <c:v>0.80799321177870076</c:v>
                      </c:pt>
                      <c:pt idx="352">
                        <c:v>0.78454299274488548</c:v>
                      </c:pt>
                      <c:pt idx="353">
                        <c:v>0.79241318831224195</c:v>
                      </c:pt>
                      <c:pt idx="354">
                        <c:v>0.80088628511341442</c:v>
                      </c:pt>
                      <c:pt idx="355">
                        <c:v>0.81856732803105048</c:v>
                      </c:pt>
                      <c:pt idx="356">
                        <c:v>0.83018078917132543</c:v>
                      </c:pt>
                      <c:pt idx="357">
                        <c:v>0.82245675147883346</c:v>
                      </c:pt>
                      <c:pt idx="358">
                        <c:v>0.84880576836412802</c:v>
                      </c:pt>
                      <c:pt idx="359">
                        <c:v>0.85595126446861458</c:v>
                      </c:pt>
                      <c:pt idx="360">
                        <c:v>0.87768818841374041</c:v>
                      </c:pt>
                      <c:pt idx="361">
                        <c:v>0.89079773780089233</c:v>
                      </c:pt>
                      <c:pt idx="362">
                        <c:v>0.88856680023872447</c:v>
                      </c:pt>
                      <c:pt idx="363">
                        <c:v>0.9001619916446415</c:v>
                      </c:pt>
                      <c:pt idx="364">
                        <c:v>0.88739550726932426</c:v>
                      </c:pt>
                      <c:pt idx="365">
                        <c:v>0.89131132033340232</c:v>
                      </c:pt>
                      <c:pt idx="366">
                        <c:v>0.88775887198600134</c:v>
                      </c:pt>
                      <c:pt idx="367">
                        <c:v>0.8990455078783155</c:v>
                      </c:pt>
                      <c:pt idx="368">
                        <c:v>0.88148626318973322</c:v>
                      </c:pt>
                      <c:pt idx="369">
                        <c:v>0.86679536679536684</c:v>
                      </c:pt>
                      <c:pt idx="370">
                        <c:v>0.91317004250758194</c:v>
                      </c:pt>
                      <c:pt idx="371">
                        <c:v>0.90139824366953702</c:v>
                      </c:pt>
                      <c:pt idx="372">
                        <c:v>0.88647187069900002</c:v>
                      </c:pt>
                      <c:pt idx="373">
                        <c:v>0.89674758129016807</c:v>
                      </c:pt>
                      <c:pt idx="374">
                        <c:v>0.90164387009812874</c:v>
                      </c:pt>
                      <c:pt idx="375">
                        <c:v>0.90648331973253105</c:v>
                      </c:pt>
                      <c:pt idx="376">
                        <c:v>0.90767491240677356</c:v>
                      </c:pt>
                      <c:pt idx="377">
                        <c:v>0.91972075726018943</c:v>
                      </c:pt>
                      <c:pt idx="378">
                        <c:v>0.92736359613331221</c:v>
                      </c:pt>
                      <c:pt idx="379">
                        <c:v>0.92038252763804818</c:v>
                      </c:pt>
                      <c:pt idx="380">
                        <c:v>0.91642408519380125</c:v>
                      </c:pt>
                      <c:pt idx="381">
                        <c:v>0.91782273485743515</c:v>
                      </c:pt>
                      <c:pt idx="382">
                        <c:v>0.9070395316452099</c:v>
                      </c:pt>
                      <c:pt idx="383">
                        <c:v>0.91569126584899452</c:v>
                      </c:pt>
                      <c:pt idx="384">
                        <c:v>0.92130007429691974</c:v>
                      </c:pt>
                      <c:pt idx="385">
                        <c:v>0.92070529294504055</c:v>
                      </c:pt>
                      <c:pt idx="386">
                        <c:v>0.93023803433898067</c:v>
                      </c:pt>
                      <c:pt idx="387">
                        <c:v>0.92944025593867863</c:v>
                      </c:pt>
                      <c:pt idx="388">
                        <c:v>0.94128513371415579</c:v>
                      </c:pt>
                      <c:pt idx="389">
                        <c:v>0.93679280903255668</c:v>
                      </c:pt>
                      <c:pt idx="390">
                        <c:v>0.94729384634747416</c:v>
                      </c:pt>
                      <c:pt idx="391">
                        <c:v>0.95540966834342234</c:v>
                      </c:pt>
                      <c:pt idx="392">
                        <c:v>0.9626607229130888</c:v>
                      </c:pt>
                      <c:pt idx="393">
                        <c:v>0.97374233178649583</c:v>
                      </c:pt>
                      <c:pt idx="394">
                        <c:v>0.96190760386343988</c:v>
                      </c:pt>
                      <c:pt idx="395">
                        <c:v>0.96341181199225367</c:v>
                      </c:pt>
                      <c:pt idx="396">
                        <c:v>0.98047777385316814</c:v>
                      </c:pt>
                      <c:pt idx="397">
                        <c:v>0.97722982107840151</c:v>
                      </c:pt>
                      <c:pt idx="398">
                        <c:v>0.96609746294288878</c:v>
                      </c:pt>
                      <c:pt idx="399">
                        <c:v>0.97849855263104479</c:v>
                      </c:pt>
                      <c:pt idx="400">
                        <c:v>0.98783844682898314</c:v>
                      </c:pt>
                      <c:pt idx="401">
                        <c:v>0.99474440641633066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E542-4FC2-A1E6-C379A5B1ABBB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FinalData!$E$1</c15:sqref>
                        </c15:formulaRef>
                      </c:ext>
                    </c:extLst>
                    <c:strCache>
                      <c:ptCount val="1"/>
                      <c:pt idx="0">
                        <c:v>Lag3</c:v>
                      </c:pt>
                    </c:strCache>
                  </c:strRef>
                </c:tx>
                <c:spPr>
                  <a:ln w="317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FinalData!$J$2:$J$403</c15:sqref>
                        </c15:formulaRef>
                      </c:ext>
                    </c:extLst>
                    <c:numCache>
                      <c:formatCode>m/d/yyyy</c:formatCode>
                      <c:ptCount val="402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  <c:pt idx="396">
                        <c:v>45658</c:v>
                      </c:pt>
                      <c:pt idx="397">
                        <c:v>45689</c:v>
                      </c:pt>
                      <c:pt idx="398">
                        <c:v>45717</c:v>
                      </c:pt>
                      <c:pt idx="399">
                        <c:v>45748</c:v>
                      </c:pt>
                      <c:pt idx="400">
                        <c:v>45778</c:v>
                      </c:pt>
                      <c:pt idx="401">
                        <c:v>45809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FinalData!$E$2:$E$403</c15:sqref>
                        </c15:formulaRef>
                      </c:ext>
                    </c:extLst>
                    <c:numCache>
                      <c:formatCode>General</c:formatCode>
                      <c:ptCount val="402"/>
                      <c:pt idx="0">
                        <c:v>3.1241245752286761E-3</c:v>
                      </c:pt>
                      <c:pt idx="1">
                        <c:v>4.3015074560815887E-3</c:v>
                      </c:pt>
                      <c:pt idx="2">
                        <c:v>6.4004969367745393E-3</c:v>
                      </c:pt>
                      <c:pt idx="3">
                        <c:v>9.3845535485914035E-3</c:v>
                      </c:pt>
                      <c:pt idx="4">
                        <c:v>8.0183834127051795E-3</c:v>
                      </c:pt>
                      <c:pt idx="5">
                        <c:v>1.1798188454339874E-2</c:v>
                      </c:pt>
                      <c:pt idx="6">
                        <c:v>1.4668566719039905E-2</c:v>
                      </c:pt>
                      <c:pt idx="7">
                        <c:v>1.4232123064930637E-2</c:v>
                      </c:pt>
                      <c:pt idx="8">
                        <c:v>1.7169490355610228E-2</c:v>
                      </c:pt>
                      <c:pt idx="9">
                        <c:v>2.0723968673495487E-2</c:v>
                      </c:pt>
                      <c:pt idx="10">
                        <c:v>1.953237599925297E-2</c:v>
                      </c:pt>
                      <c:pt idx="11">
                        <c:v>1.7061901919946085E-2</c:v>
                      </c:pt>
                      <c:pt idx="12">
                        <c:v>2.5577628101287407E-2</c:v>
                      </c:pt>
                      <c:pt idx="13">
                        <c:v>2.7236113986902632E-2</c:v>
                      </c:pt>
                      <c:pt idx="14">
                        <c:v>2.6862599417804466E-2</c:v>
                      </c:pt>
                      <c:pt idx="15">
                        <c:v>3.2777933408848235E-2</c:v>
                      </c:pt>
                      <c:pt idx="16">
                        <c:v>3.1068698261127282E-2</c:v>
                      </c:pt>
                      <c:pt idx="17">
                        <c:v>3.3321965498621653E-2</c:v>
                      </c:pt>
                      <c:pt idx="18">
                        <c:v>3.5835068958097349E-2</c:v>
                      </c:pt>
                      <c:pt idx="19">
                        <c:v>4.0363933108412603E-2</c:v>
                      </c:pt>
                      <c:pt idx="20">
                        <c:v>4.2909516095635966E-2</c:v>
                      </c:pt>
                      <c:pt idx="21">
                        <c:v>4.1104872335156244E-2</c:v>
                      </c:pt>
                      <c:pt idx="22">
                        <c:v>4.659797246548035E-2</c:v>
                      </c:pt>
                      <c:pt idx="23">
                        <c:v>5.3205526391646267E-2</c:v>
                      </c:pt>
                      <c:pt idx="24">
                        <c:v>5.3067488398718686E-2</c:v>
                      </c:pt>
                      <c:pt idx="25">
                        <c:v>5.1342013487123896E-2</c:v>
                      </c:pt>
                      <c:pt idx="26">
                        <c:v>5.5249706669265028E-2</c:v>
                      </c:pt>
                      <c:pt idx="27">
                        <c:v>5.5609011444973593E-2</c:v>
                      </c:pt>
                      <c:pt idx="28">
                        <c:v>6.1329468269531361E-2</c:v>
                      </c:pt>
                      <c:pt idx="29">
                        <c:v>6.4751998505941724E-2</c:v>
                      </c:pt>
                      <c:pt idx="30">
                        <c:v>6.737269040108157E-2</c:v>
                      </c:pt>
                      <c:pt idx="31">
                        <c:v>6.8290237059953143E-2</c:v>
                      </c:pt>
                      <c:pt idx="32">
                        <c:v>6.9116435047034422E-2</c:v>
                      </c:pt>
                      <c:pt idx="33">
                        <c:v>7.1081446475768237E-2</c:v>
                      </c:pt>
                      <c:pt idx="34">
                        <c:v>6.5852242508393929E-2</c:v>
                      </c:pt>
                      <c:pt idx="35">
                        <c:v>6.9538668907754078E-2</c:v>
                      </c:pt>
                      <c:pt idx="36">
                        <c:v>6.9491979586616806E-2</c:v>
                      </c:pt>
                      <c:pt idx="37">
                        <c:v>7.490591086805598E-2</c:v>
                      </c:pt>
                      <c:pt idx="38">
                        <c:v>7.9700701151805248E-2</c:v>
                      </c:pt>
                      <c:pt idx="39">
                        <c:v>7.6933851381800908E-2</c:v>
                      </c:pt>
                      <c:pt idx="40">
                        <c:v>8.0522839197918056E-2</c:v>
                      </c:pt>
                      <c:pt idx="41">
                        <c:v>8.1105440726891825E-2</c:v>
                      </c:pt>
                      <c:pt idx="42">
                        <c:v>7.9759570295847904E-2</c:v>
                      </c:pt>
                      <c:pt idx="43">
                        <c:v>8.567896422786013E-2</c:v>
                      </c:pt>
                      <c:pt idx="44">
                        <c:v>8.6722369056753915E-2</c:v>
                      </c:pt>
                      <c:pt idx="45">
                        <c:v>8.6306225107486936E-2</c:v>
                      </c:pt>
                      <c:pt idx="46">
                        <c:v>9.227433833112067E-2</c:v>
                      </c:pt>
                      <c:pt idx="47">
                        <c:v>9.3616148821196135E-2</c:v>
                      </c:pt>
                      <c:pt idx="48">
                        <c:v>9.6744333337393268E-2</c:v>
                      </c:pt>
                      <c:pt idx="49">
                        <c:v>0.10032926121254197</c:v>
                      </c:pt>
                      <c:pt idx="50">
                        <c:v>9.7113787965522988E-2</c:v>
                      </c:pt>
                      <c:pt idx="51">
                        <c:v>9.9454343933839201E-2</c:v>
                      </c:pt>
                      <c:pt idx="52">
                        <c:v>9.9507123166429165E-2</c:v>
                      </c:pt>
                      <c:pt idx="53">
                        <c:v>0.10389997929430106</c:v>
                      </c:pt>
                      <c:pt idx="54">
                        <c:v>0.10819742680941419</c:v>
                      </c:pt>
                      <c:pt idx="55">
                        <c:v>0.10706064333824586</c:v>
                      </c:pt>
                      <c:pt idx="56">
                        <c:v>0.10799036982002282</c:v>
                      </c:pt>
                      <c:pt idx="57">
                        <c:v>0.1123121769809467</c:v>
                      </c:pt>
                      <c:pt idx="58">
                        <c:v>0.11524345436017361</c:v>
                      </c:pt>
                      <c:pt idx="59">
                        <c:v>0.11820924123763241</c:v>
                      </c:pt>
                      <c:pt idx="60">
                        <c:v>0.11183513391715284</c:v>
                      </c:pt>
                      <c:pt idx="61">
                        <c:v>0.11127689203398983</c:v>
                      </c:pt>
                      <c:pt idx="62">
                        <c:v>0.11609604196354985</c:v>
                      </c:pt>
                      <c:pt idx="63">
                        <c:v>0.12104916994506899</c:v>
                      </c:pt>
                      <c:pt idx="64">
                        <c:v>0.1213353957833453</c:v>
                      </c:pt>
                      <c:pt idx="65">
                        <c:v>0.12356836331599738</c:v>
                      </c:pt>
                      <c:pt idx="66">
                        <c:v>0.12369625145650383</c:v>
                      </c:pt>
                      <c:pt idx="67">
                        <c:v>0.12313394963237234</c:v>
                      </c:pt>
                      <c:pt idx="68">
                        <c:v>0.12528368837517104</c:v>
                      </c:pt>
                      <c:pt idx="69">
                        <c:v>0.12663970865863611</c:v>
                      </c:pt>
                      <c:pt idx="70">
                        <c:v>0.12603477745433581</c:v>
                      </c:pt>
                      <c:pt idx="71">
                        <c:v>0.12827586486892481</c:v>
                      </c:pt>
                      <c:pt idx="72">
                        <c:v>0.13512092534174552</c:v>
                      </c:pt>
                      <c:pt idx="73">
                        <c:v>0.13609937111514397</c:v>
                      </c:pt>
                      <c:pt idx="74">
                        <c:v>0.14027502040120338</c:v>
                      </c:pt>
                      <c:pt idx="75">
                        <c:v>0.13710014656386896</c:v>
                      </c:pt>
                      <c:pt idx="76">
                        <c:v>0.13320057326366475</c:v>
                      </c:pt>
                      <c:pt idx="77">
                        <c:v>0.13802175316370899</c:v>
                      </c:pt>
                      <c:pt idx="78">
                        <c:v>0.14549610448664077</c:v>
                      </c:pt>
                      <c:pt idx="79">
                        <c:v>0.14833806316456158</c:v>
                      </c:pt>
                      <c:pt idx="80">
                        <c:v>0.1528080581708342</c:v>
                      </c:pt>
                      <c:pt idx="81">
                        <c:v>0.15389206240941256</c:v>
                      </c:pt>
                      <c:pt idx="82">
                        <c:v>0.15965514861413915</c:v>
                      </c:pt>
                      <c:pt idx="83">
                        <c:v>0.16255800640658685</c:v>
                      </c:pt>
                      <c:pt idx="84">
                        <c:v>0.16588309805975421</c:v>
                      </c:pt>
                      <c:pt idx="85">
                        <c:v>0.16941524670231295</c:v>
                      </c:pt>
                      <c:pt idx="86">
                        <c:v>0.17123613022666651</c:v>
                      </c:pt>
                      <c:pt idx="87">
                        <c:v>0.17519457267091337</c:v>
                      </c:pt>
                      <c:pt idx="88">
                        <c:v>0.18022483953083321</c:v>
                      </c:pt>
                      <c:pt idx="89">
                        <c:v>0.18227510971990468</c:v>
                      </c:pt>
                      <c:pt idx="90">
                        <c:v>0.18093938914128188</c:v>
                      </c:pt>
                      <c:pt idx="91">
                        <c:v>0.18737642554677256</c:v>
                      </c:pt>
                      <c:pt idx="92">
                        <c:v>0.19785919312733194</c:v>
                      </c:pt>
                      <c:pt idx="93">
                        <c:v>0.1937018135756306</c:v>
                      </c:pt>
                      <c:pt idx="94">
                        <c:v>0.20182169551254725</c:v>
                      </c:pt>
                      <c:pt idx="95">
                        <c:v>0.2078953672013609</c:v>
                      </c:pt>
                      <c:pt idx="96">
                        <c:v>0.19778408421941546</c:v>
                      </c:pt>
                      <c:pt idx="97">
                        <c:v>0.2018318453649684</c:v>
                      </c:pt>
                      <c:pt idx="98">
                        <c:v>0.20524219577847339</c:v>
                      </c:pt>
                      <c:pt idx="99">
                        <c:v>0.20068085210041045</c:v>
                      </c:pt>
                      <c:pt idx="100">
                        <c:v>0.2033989825787933</c:v>
                      </c:pt>
                      <c:pt idx="101">
                        <c:v>0.20989894806929507</c:v>
                      </c:pt>
                      <c:pt idx="102">
                        <c:v>0.20965332164070336</c:v>
                      </c:pt>
                      <c:pt idx="103">
                        <c:v>0.20650077747869547</c:v>
                      </c:pt>
                      <c:pt idx="104">
                        <c:v>0.206496717537727</c:v>
                      </c:pt>
                      <c:pt idx="105">
                        <c:v>0.21359146438010793</c:v>
                      </c:pt>
                      <c:pt idx="106">
                        <c:v>0.21348996585589647</c:v>
                      </c:pt>
                      <c:pt idx="107">
                        <c:v>0.20785679776216054</c:v>
                      </c:pt>
                      <c:pt idx="108">
                        <c:v>0.21719263201913044</c:v>
                      </c:pt>
                      <c:pt idx="109">
                        <c:v>0.21950070845969899</c:v>
                      </c:pt>
                      <c:pt idx="110">
                        <c:v>0.21663033019499897</c:v>
                      </c:pt>
                      <c:pt idx="111">
                        <c:v>0.21358537446865522</c:v>
                      </c:pt>
                      <c:pt idx="112">
                        <c:v>0.21816092794010775</c:v>
                      </c:pt>
                      <c:pt idx="113">
                        <c:v>0.20504731861198738</c:v>
                      </c:pt>
                      <c:pt idx="114">
                        <c:v>0.24510269620679714</c:v>
                      </c:pt>
                      <c:pt idx="115">
                        <c:v>0.22728361529623359</c:v>
                      </c:pt>
                      <c:pt idx="116">
                        <c:v>0.21874758941004999</c:v>
                      </c:pt>
                      <c:pt idx="117">
                        <c:v>0.2202172880406319</c:v>
                      </c:pt>
                      <c:pt idx="118">
                        <c:v>0.22361951857219997</c:v>
                      </c:pt>
                      <c:pt idx="119">
                        <c:v>0.22212343032532306</c:v>
                      </c:pt>
                      <c:pt idx="120">
                        <c:v>0.22821537174849477</c:v>
                      </c:pt>
                      <c:pt idx="121">
                        <c:v>0.22384484529594939</c:v>
                      </c:pt>
                      <c:pt idx="122">
                        <c:v>0.22640666804704659</c:v>
                      </c:pt>
                      <c:pt idx="123">
                        <c:v>0.2338911692223995</c:v>
                      </c:pt>
                      <c:pt idx="124">
                        <c:v>0.23736444872091561</c:v>
                      </c:pt>
                      <c:pt idx="125">
                        <c:v>0.22727752538478091</c:v>
                      </c:pt>
                      <c:pt idx="126">
                        <c:v>0.23143896487745069</c:v>
                      </c:pt>
                      <c:pt idx="127">
                        <c:v>0.23188352841349688</c:v>
                      </c:pt>
                      <c:pt idx="128">
                        <c:v>0.23768112411645534</c:v>
                      </c:pt>
                      <c:pt idx="129">
                        <c:v>0.24212269953594875</c:v>
                      </c:pt>
                      <c:pt idx="130">
                        <c:v>0.2342809235553715</c:v>
                      </c:pt>
                      <c:pt idx="131">
                        <c:v>0.24044188397500701</c:v>
                      </c:pt>
                      <c:pt idx="132">
                        <c:v>0.2420841300967484</c:v>
                      </c:pt>
                      <c:pt idx="133">
                        <c:v>0.24211863959498028</c:v>
                      </c:pt>
                      <c:pt idx="134">
                        <c:v>0.25011469333235897</c:v>
                      </c:pt>
                      <c:pt idx="135">
                        <c:v>0.25488918391126592</c:v>
                      </c:pt>
                      <c:pt idx="136">
                        <c:v>0.26083496745957313</c:v>
                      </c:pt>
                      <c:pt idx="137">
                        <c:v>0.26002297926588147</c:v>
                      </c:pt>
                      <c:pt idx="138">
                        <c:v>0.25768445326804951</c:v>
                      </c:pt>
                      <c:pt idx="139">
                        <c:v>0.25991945077118578</c:v>
                      </c:pt>
                      <c:pt idx="140">
                        <c:v>0.26273907977378008</c:v>
                      </c:pt>
                      <c:pt idx="141">
                        <c:v>0.26459650276684976</c:v>
                      </c:pt>
                      <c:pt idx="142">
                        <c:v>0.26844329683446405</c:v>
                      </c:pt>
                      <c:pt idx="143">
                        <c:v>0.2792670994563739</c:v>
                      </c:pt>
                      <c:pt idx="144">
                        <c:v>0.27507115046547226</c:v>
                      </c:pt>
                      <c:pt idx="145">
                        <c:v>0.28249272255581404</c:v>
                      </c:pt>
                      <c:pt idx="146">
                        <c:v>0.27814858571956363</c:v>
                      </c:pt>
                      <c:pt idx="147">
                        <c:v>0.28263279051922585</c:v>
                      </c:pt>
                      <c:pt idx="148">
                        <c:v>0.28193448067265103</c:v>
                      </c:pt>
                      <c:pt idx="149">
                        <c:v>0.29383010771023388</c:v>
                      </c:pt>
                      <c:pt idx="150">
                        <c:v>0.29552310309408103</c:v>
                      </c:pt>
                      <c:pt idx="151">
                        <c:v>0.29954041468237053</c:v>
                      </c:pt>
                      <c:pt idx="152">
                        <c:v>0.30709596482467144</c:v>
                      </c:pt>
                      <c:pt idx="153">
                        <c:v>0.30041736193155749</c:v>
                      </c:pt>
                      <c:pt idx="154">
                        <c:v>0.30772322570429828</c:v>
                      </c:pt>
                      <c:pt idx="155">
                        <c:v>0.30982018521450699</c:v>
                      </c:pt>
                      <c:pt idx="156">
                        <c:v>0.31471241408149925</c:v>
                      </c:pt>
                      <c:pt idx="157">
                        <c:v>0.31097929836100185</c:v>
                      </c:pt>
                      <c:pt idx="158">
                        <c:v>0.33081008002143647</c:v>
                      </c:pt>
                      <c:pt idx="159">
                        <c:v>0.33535112399465711</c:v>
                      </c:pt>
                      <c:pt idx="160">
                        <c:v>0.32702012512738066</c:v>
                      </c:pt>
                      <c:pt idx="161">
                        <c:v>0.32899122646756718</c:v>
                      </c:pt>
                      <c:pt idx="162">
                        <c:v>0.32858929231168976</c:v>
                      </c:pt>
                      <c:pt idx="163">
                        <c:v>0.33382052624954833</c:v>
                      </c:pt>
                      <c:pt idx="164">
                        <c:v>0.3341392316155723</c:v>
                      </c:pt>
                      <c:pt idx="165">
                        <c:v>0.35209026060761078</c:v>
                      </c:pt>
                      <c:pt idx="166">
                        <c:v>0.34777454335813957</c:v>
                      </c:pt>
                      <c:pt idx="167">
                        <c:v>0.34986744292737981</c:v>
                      </c:pt>
                      <c:pt idx="168">
                        <c:v>0.35316208502328378</c:v>
                      </c:pt>
                      <c:pt idx="169">
                        <c:v>0.35077686970431449</c:v>
                      </c:pt>
                      <c:pt idx="170">
                        <c:v>0.35495657893134236</c:v>
                      </c:pt>
                      <c:pt idx="171">
                        <c:v>0.35699872923847686</c:v>
                      </c:pt>
                      <c:pt idx="172">
                        <c:v>0.35865924509457631</c:v>
                      </c:pt>
                      <c:pt idx="173">
                        <c:v>0.35378325599145788</c:v>
                      </c:pt>
                      <c:pt idx="174">
                        <c:v>0.35326561351797947</c:v>
                      </c:pt>
                      <c:pt idx="175">
                        <c:v>0.35525092465155556</c:v>
                      </c:pt>
                      <c:pt idx="176">
                        <c:v>0.36172450052576238</c:v>
                      </c:pt>
                      <c:pt idx="177">
                        <c:v>0.36171029073237276</c:v>
                      </c:pt>
                      <c:pt idx="178">
                        <c:v>0.36400212740906746</c:v>
                      </c:pt>
                      <c:pt idx="179">
                        <c:v>0.3686182802902046</c:v>
                      </c:pt>
                      <c:pt idx="180">
                        <c:v>0.36693340478829439</c:v>
                      </c:pt>
                      <c:pt idx="181">
                        <c:v>0.37584091527309194</c:v>
                      </c:pt>
                      <c:pt idx="182">
                        <c:v>0.3693653094284009</c:v>
                      </c:pt>
                      <c:pt idx="183">
                        <c:v>0.37216463872615291</c:v>
                      </c:pt>
                      <c:pt idx="184">
                        <c:v>0.3762022500192847</c:v>
                      </c:pt>
                      <c:pt idx="185">
                        <c:v>0.37868693389198121</c:v>
                      </c:pt>
                      <c:pt idx="186">
                        <c:v>0.38249515852039512</c:v>
                      </c:pt>
                      <c:pt idx="187">
                        <c:v>0.38955336589405992</c:v>
                      </c:pt>
                      <c:pt idx="188">
                        <c:v>0.37988664644816067</c:v>
                      </c:pt>
                      <c:pt idx="189">
                        <c:v>0.38236118046843598</c:v>
                      </c:pt>
                      <c:pt idx="190">
                        <c:v>0.3770649874750821</c:v>
                      </c:pt>
                      <c:pt idx="191">
                        <c:v>0.37833168905724113</c:v>
                      </c:pt>
                      <c:pt idx="192">
                        <c:v>0.37740602251643263</c:v>
                      </c:pt>
                      <c:pt idx="193">
                        <c:v>0.38359946246381577</c:v>
                      </c:pt>
                      <c:pt idx="194">
                        <c:v>0.38497172251115469</c:v>
                      </c:pt>
                      <c:pt idx="195">
                        <c:v>0.38200187569272742</c:v>
                      </c:pt>
                      <c:pt idx="196">
                        <c:v>0.37590181438761883</c:v>
                      </c:pt>
                      <c:pt idx="197">
                        <c:v>0.3642741434539542</c:v>
                      </c:pt>
                      <c:pt idx="198">
                        <c:v>0.33869651535266676</c:v>
                      </c:pt>
                      <c:pt idx="199">
                        <c:v>0.31114575594070865</c:v>
                      </c:pt>
                      <c:pt idx="200">
                        <c:v>0.29526123690161543</c:v>
                      </c:pt>
                      <c:pt idx="201">
                        <c:v>0.30516343292368531</c:v>
                      </c:pt>
                      <c:pt idx="202">
                        <c:v>0.30309286302977156</c:v>
                      </c:pt>
                      <c:pt idx="203">
                        <c:v>0.29211681262154449</c:v>
                      </c:pt>
                      <c:pt idx="204">
                        <c:v>0.29517800811176204</c:v>
                      </c:pt>
                      <c:pt idx="205">
                        <c:v>0.30062847886191735</c:v>
                      </c:pt>
                      <c:pt idx="206">
                        <c:v>0.31127161411073084</c:v>
                      </c:pt>
                      <c:pt idx="207">
                        <c:v>0.31425567072254768</c:v>
                      </c:pt>
                      <c:pt idx="208">
                        <c:v>0.32631978531032158</c:v>
                      </c:pt>
                      <c:pt idx="209">
                        <c:v>0.3092233738921436</c:v>
                      </c:pt>
                      <c:pt idx="210">
                        <c:v>0.31656780710408472</c:v>
                      </c:pt>
                      <c:pt idx="211">
                        <c:v>0.32167521284240524</c:v>
                      </c:pt>
                      <c:pt idx="212">
                        <c:v>0.32446845222870457</c:v>
                      </c:pt>
                      <c:pt idx="213">
                        <c:v>0.32521142142593246</c:v>
                      </c:pt>
                      <c:pt idx="214">
                        <c:v>0.32518097186866901</c:v>
                      </c:pt>
                      <c:pt idx="215">
                        <c:v>0.33982720891238244</c:v>
                      </c:pt>
                      <c:pt idx="216">
                        <c:v>0.34514167164009435</c:v>
                      </c:pt>
                      <c:pt idx="217">
                        <c:v>0.33908220974467029</c:v>
                      </c:pt>
                      <c:pt idx="218">
                        <c:v>0.3379251265686597</c:v>
                      </c:pt>
                      <c:pt idx="219">
                        <c:v>0.33986374838109856</c:v>
                      </c:pt>
                      <c:pt idx="220">
                        <c:v>0.34233625243088966</c:v>
                      </c:pt>
                      <c:pt idx="221">
                        <c:v>0.34847488317519865</c:v>
                      </c:pt>
                      <c:pt idx="222">
                        <c:v>0.35642018765047156</c:v>
                      </c:pt>
                      <c:pt idx="223">
                        <c:v>0.36250197922122213</c:v>
                      </c:pt>
                      <c:pt idx="224">
                        <c:v>0.36803567876123083</c:v>
                      </c:pt>
                      <c:pt idx="225">
                        <c:v>0.37260920226219912</c:v>
                      </c:pt>
                      <c:pt idx="226">
                        <c:v>0.37743038216224334</c:v>
                      </c:pt>
                      <c:pt idx="227">
                        <c:v>0.38374765030916452</c:v>
                      </c:pt>
                      <c:pt idx="228">
                        <c:v>0.38786443045118124</c:v>
                      </c:pt>
                      <c:pt idx="229">
                        <c:v>0.38628105347348252</c:v>
                      </c:pt>
                      <c:pt idx="230">
                        <c:v>0.39175994381041701</c:v>
                      </c:pt>
                      <c:pt idx="231">
                        <c:v>0.39138236930035036</c:v>
                      </c:pt>
                      <c:pt idx="232">
                        <c:v>0.39187159218704959</c:v>
                      </c:pt>
                      <c:pt idx="233">
                        <c:v>0.39968291861036342</c:v>
                      </c:pt>
                      <c:pt idx="234">
                        <c:v>0.40383826819158047</c:v>
                      </c:pt>
                      <c:pt idx="235">
                        <c:v>0.40618491407134938</c:v>
                      </c:pt>
                      <c:pt idx="236">
                        <c:v>0.40796925812698681</c:v>
                      </c:pt>
                      <c:pt idx="237">
                        <c:v>0.41317207247806614</c:v>
                      </c:pt>
                      <c:pt idx="238">
                        <c:v>0.42269060407861669</c:v>
                      </c:pt>
                      <c:pt idx="239">
                        <c:v>0.42553865266799018</c:v>
                      </c:pt>
                      <c:pt idx="240">
                        <c:v>0.42142593246694193</c:v>
                      </c:pt>
                      <c:pt idx="241">
                        <c:v>0.42009021188831913</c:v>
                      </c:pt>
                      <c:pt idx="242">
                        <c:v>0.41252857183456554</c:v>
                      </c:pt>
                      <c:pt idx="243">
                        <c:v>0.4157704346978795</c:v>
                      </c:pt>
                      <c:pt idx="244">
                        <c:v>0.42560767166445401</c:v>
                      </c:pt>
                      <c:pt idx="245">
                        <c:v>0.43127737922690607</c:v>
                      </c:pt>
                      <c:pt idx="246">
                        <c:v>0.43162653415019347</c:v>
                      </c:pt>
                      <c:pt idx="247">
                        <c:v>0.43449082250344079</c:v>
                      </c:pt>
                      <c:pt idx="248">
                        <c:v>0.43725361233247667</c:v>
                      </c:pt>
                      <c:pt idx="249">
                        <c:v>0.44281167151829615</c:v>
                      </c:pt>
                      <c:pt idx="250">
                        <c:v>0.45290062482491505</c:v>
                      </c:pt>
                      <c:pt idx="251">
                        <c:v>0.44665034570397344</c:v>
                      </c:pt>
                      <c:pt idx="252">
                        <c:v>0.44330292437547958</c:v>
                      </c:pt>
                      <c:pt idx="253">
                        <c:v>0.44805914522002849</c:v>
                      </c:pt>
                      <c:pt idx="254">
                        <c:v>0.45077727569841136</c:v>
                      </c:pt>
                      <c:pt idx="255">
                        <c:v>0.45496307483689186</c:v>
                      </c:pt>
                      <c:pt idx="256">
                        <c:v>0.45354209549793145</c:v>
                      </c:pt>
                      <c:pt idx="257">
                        <c:v>0.45379584180846011</c:v>
                      </c:pt>
                      <c:pt idx="258">
                        <c:v>0.45537109890422195</c:v>
                      </c:pt>
                      <c:pt idx="259">
                        <c:v>0.45623180638953509</c:v>
                      </c:pt>
                      <c:pt idx="260">
                        <c:v>0.46157265873354203</c:v>
                      </c:pt>
                      <c:pt idx="261">
                        <c:v>0.45585829182043691</c:v>
                      </c:pt>
                      <c:pt idx="262">
                        <c:v>0.46529968454258674</c:v>
                      </c:pt>
                      <c:pt idx="263">
                        <c:v>0.47331806795529191</c:v>
                      </c:pt>
                      <c:pt idx="264">
                        <c:v>0.48173635555339023</c:v>
                      </c:pt>
                      <c:pt idx="265">
                        <c:v>0.48245699507529161</c:v>
                      </c:pt>
                      <c:pt idx="266">
                        <c:v>0.48414390054768602</c:v>
                      </c:pt>
                      <c:pt idx="267">
                        <c:v>0.4850106979444519</c:v>
                      </c:pt>
                      <c:pt idx="268">
                        <c:v>0.49104377022358092</c:v>
                      </c:pt>
                      <c:pt idx="269">
                        <c:v>0.48751162158102224</c:v>
                      </c:pt>
                      <c:pt idx="270">
                        <c:v>0.48963497070752593</c:v>
                      </c:pt>
                      <c:pt idx="271">
                        <c:v>0.49194101717761024</c:v>
                      </c:pt>
                      <c:pt idx="272">
                        <c:v>0.48427381865867669</c:v>
                      </c:pt>
                      <c:pt idx="273">
                        <c:v>0.47988096253080481</c:v>
                      </c:pt>
                      <c:pt idx="274">
                        <c:v>0.47800526980337704</c:v>
                      </c:pt>
                      <c:pt idx="275">
                        <c:v>0.49036170014087993</c:v>
                      </c:pt>
                      <c:pt idx="276">
                        <c:v>0.49079205388353653</c:v>
                      </c:pt>
                      <c:pt idx="277">
                        <c:v>0.49741381760309206</c:v>
                      </c:pt>
                      <c:pt idx="278">
                        <c:v>0.49750313630439813</c:v>
                      </c:pt>
                      <c:pt idx="279">
                        <c:v>0.50512364550219435</c:v>
                      </c:pt>
                      <c:pt idx="280">
                        <c:v>0.50434616680673461</c:v>
                      </c:pt>
                      <c:pt idx="281">
                        <c:v>0.50024765639907598</c:v>
                      </c:pt>
                      <c:pt idx="282">
                        <c:v>0.49723315022999565</c:v>
                      </c:pt>
                      <c:pt idx="283">
                        <c:v>0.50020502701890712</c:v>
                      </c:pt>
                      <c:pt idx="284">
                        <c:v>0.50227762688330513</c:v>
                      </c:pt>
                      <c:pt idx="285">
                        <c:v>0.49807964792191922</c:v>
                      </c:pt>
                      <c:pt idx="286">
                        <c:v>0.50324795277476664</c:v>
                      </c:pt>
                      <c:pt idx="287">
                        <c:v>0.50115505320552645</c:v>
                      </c:pt>
                      <c:pt idx="288">
                        <c:v>0.50544641080918684</c:v>
                      </c:pt>
                      <c:pt idx="289">
                        <c:v>0.50785598577396684</c:v>
                      </c:pt>
                      <c:pt idx="290">
                        <c:v>0.517628263685046</c:v>
                      </c:pt>
                      <c:pt idx="291">
                        <c:v>0.51647524045000381</c:v>
                      </c:pt>
                      <c:pt idx="292">
                        <c:v>0.51596368788797808</c:v>
                      </c:pt>
                      <c:pt idx="293">
                        <c:v>0.52104673398048795</c:v>
                      </c:pt>
                      <c:pt idx="294">
                        <c:v>0.52275190918724046</c:v>
                      </c:pt>
                      <c:pt idx="295">
                        <c:v>0.52080922743383307</c:v>
                      </c:pt>
                      <c:pt idx="296">
                        <c:v>0.53387005752936356</c:v>
                      </c:pt>
                      <c:pt idx="297">
                        <c:v>0.54027461440710656</c:v>
                      </c:pt>
                      <c:pt idx="298">
                        <c:v>0.54004319777190435</c:v>
                      </c:pt>
                      <c:pt idx="299">
                        <c:v>0.53897746326768414</c:v>
                      </c:pt>
                      <c:pt idx="300">
                        <c:v>0.54203053887596475</c:v>
                      </c:pt>
                      <c:pt idx="301">
                        <c:v>0.53690486340328614</c:v>
                      </c:pt>
                      <c:pt idx="302">
                        <c:v>0.54189453085352135</c:v>
                      </c:pt>
                      <c:pt idx="303">
                        <c:v>0.54198790949579589</c:v>
                      </c:pt>
                      <c:pt idx="304">
                        <c:v>0.54298868494452091</c:v>
                      </c:pt>
                      <c:pt idx="305">
                        <c:v>0.56210085705353841</c:v>
                      </c:pt>
                      <c:pt idx="306">
                        <c:v>0.5620561977028854</c:v>
                      </c:pt>
                      <c:pt idx="307">
                        <c:v>0.57063282299875362</c:v>
                      </c:pt>
                      <c:pt idx="308">
                        <c:v>0.57534438449264946</c:v>
                      </c:pt>
                      <c:pt idx="309">
                        <c:v>0.57058816364810061</c:v>
                      </c:pt>
                      <c:pt idx="310">
                        <c:v>0.5752672456142488</c:v>
                      </c:pt>
                      <c:pt idx="311">
                        <c:v>0.57441465801087255</c:v>
                      </c:pt>
                      <c:pt idx="312">
                        <c:v>0.57606299404406658</c:v>
                      </c:pt>
                      <c:pt idx="313">
                        <c:v>0.58913803393298658</c:v>
                      </c:pt>
                      <c:pt idx="314">
                        <c:v>0.58440414276376418</c:v>
                      </c:pt>
                      <c:pt idx="315">
                        <c:v>0.58858994190224478</c:v>
                      </c:pt>
                      <c:pt idx="316">
                        <c:v>0.58851077305335986</c:v>
                      </c:pt>
                      <c:pt idx="317">
                        <c:v>0.58730700055621188</c:v>
                      </c:pt>
                      <c:pt idx="318">
                        <c:v>0.59635254903393708</c:v>
                      </c:pt>
                      <c:pt idx="319">
                        <c:v>0.60187000881007191</c:v>
                      </c:pt>
                      <c:pt idx="320">
                        <c:v>0.58221989452273359</c:v>
                      </c:pt>
                      <c:pt idx="321">
                        <c:v>0.58488727573901078</c:v>
                      </c:pt>
                      <c:pt idx="322">
                        <c:v>0.58681168775806003</c:v>
                      </c:pt>
                      <c:pt idx="323">
                        <c:v>0.6010255410886326</c:v>
                      </c:pt>
                      <c:pt idx="324">
                        <c:v>0.60008972469540289</c:v>
                      </c:pt>
                      <c:pt idx="325">
                        <c:v>0.60979095363953406</c:v>
                      </c:pt>
                      <c:pt idx="326">
                        <c:v>0.60898302538681093</c:v>
                      </c:pt>
                      <c:pt idx="327">
                        <c:v>0.61545457129053338</c:v>
                      </c:pt>
                      <c:pt idx="328">
                        <c:v>0.62198092639733016</c:v>
                      </c:pt>
                      <c:pt idx="329">
                        <c:v>0.61393412339784581</c:v>
                      </c:pt>
                      <c:pt idx="330">
                        <c:v>0.61611025175693945</c:v>
                      </c:pt>
                      <c:pt idx="331">
                        <c:v>0.62303854101961353</c:v>
                      </c:pt>
                      <c:pt idx="332">
                        <c:v>0.62426261322160381</c:v>
                      </c:pt>
                      <c:pt idx="333">
                        <c:v>0.62046859838657942</c:v>
                      </c:pt>
                      <c:pt idx="334">
                        <c:v>0.62087053254245683</c:v>
                      </c:pt>
                      <c:pt idx="335">
                        <c:v>0.56602478999955341</c:v>
                      </c:pt>
                      <c:pt idx="336">
                        <c:v>0.46319054520947267</c:v>
                      </c:pt>
                      <c:pt idx="337">
                        <c:v>0.60054037814290184</c:v>
                      </c:pt>
                      <c:pt idx="338">
                        <c:v>0.65706084633529427</c:v>
                      </c:pt>
                      <c:pt idx="339">
                        <c:v>0.66938885708601792</c:v>
                      </c:pt>
                      <c:pt idx="340">
                        <c:v>0.67308949327876777</c:v>
                      </c:pt>
                      <c:pt idx="341">
                        <c:v>0.69137140745973558</c:v>
                      </c:pt>
                      <c:pt idx="342">
                        <c:v>0.68743529469081521</c:v>
                      </c:pt>
                      <c:pt idx="343">
                        <c:v>0.68198685391114411</c:v>
                      </c:pt>
                      <c:pt idx="344">
                        <c:v>0.69796272162202766</c:v>
                      </c:pt>
                      <c:pt idx="345">
                        <c:v>0.72974190955263507</c:v>
                      </c:pt>
                      <c:pt idx="346">
                        <c:v>0.70376031732498612</c:v>
                      </c:pt>
                      <c:pt idx="347">
                        <c:v>0.80688687786479585</c:v>
                      </c:pt>
                      <c:pt idx="348">
                        <c:v>0.81214856135991786</c:v>
                      </c:pt>
                      <c:pt idx="349">
                        <c:v>0.80076042694339222</c:v>
                      </c:pt>
                      <c:pt idx="350">
                        <c:v>0.80799321177870076</c:v>
                      </c:pt>
                      <c:pt idx="351">
                        <c:v>0.78454299274488548</c:v>
                      </c:pt>
                      <c:pt idx="352">
                        <c:v>0.79241318831224195</c:v>
                      </c:pt>
                      <c:pt idx="353">
                        <c:v>0.80088628511341442</c:v>
                      </c:pt>
                      <c:pt idx="354">
                        <c:v>0.81856732803105048</c:v>
                      </c:pt>
                      <c:pt idx="355">
                        <c:v>0.83018078917132543</c:v>
                      </c:pt>
                      <c:pt idx="356">
                        <c:v>0.82245675147883346</c:v>
                      </c:pt>
                      <c:pt idx="357">
                        <c:v>0.84880576836412802</c:v>
                      </c:pt>
                      <c:pt idx="358">
                        <c:v>0.85595126446861458</c:v>
                      </c:pt>
                      <c:pt idx="359">
                        <c:v>0.87768818841374041</c:v>
                      </c:pt>
                      <c:pt idx="360">
                        <c:v>0.89079773780089233</c:v>
                      </c:pt>
                      <c:pt idx="361">
                        <c:v>0.88856680023872447</c:v>
                      </c:pt>
                      <c:pt idx="362">
                        <c:v>0.9001619916446415</c:v>
                      </c:pt>
                      <c:pt idx="363">
                        <c:v>0.88739550726932426</c:v>
                      </c:pt>
                      <c:pt idx="364">
                        <c:v>0.89131132033340232</c:v>
                      </c:pt>
                      <c:pt idx="365">
                        <c:v>0.88775887198600134</c:v>
                      </c:pt>
                      <c:pt idx="366">
                        <c:v>0.8990455078783155</c:v>
                      </c:pt>
                      <c:pt idx="367">
                        <c:v>0.88148626318973322</c:v>
                      </c:pt>
                      <c:pt idx="368">
                        <c:v>0.86679536679536684</c:v>
                      </c:pt>
                      <c:pt idx="369">
                        <c:v>0.91317004250758194</c:v>
                      </c:pt>
                      <c:pt idx="370">
                        <c:v>0.90139824366953702</c:v>
                      </c:pt>
                      <c:pt idx="371">
                        <c:v>0.88647187069900002</c:v>
                      </c:pt>
                      <c:pt idx="372">
                        <c:v>0.89674758129016807</c:v>
                      </c:pt>
                      <c:pt idx="373">
                        <c:v>0.90164387009812874</c:v>
                      </c:pt>
                      <c:pt idx="374">
                        <c:v>0.90648331973253105</c:v>
                      </c:pt>
                      <c:pt idx="375">
                        <c:v>0.90767491240677356</c:v>
                      </c:pt>
                      <c:pt idx="376">
                        <c:v>0.91972075726018943</c:v>
                      </c:pt>
                      <c:pt idx="377">
                        <c:v>0.92736359613331221</c:v>
                      </c:pt>
                      <c:pt idx="378">
                        <c:v>0.92038252763804818</c:v>
                      </c:pt>
                      <c:pt idx="379">
                        <c:v>0.91642408519380125</c:v>
                      </c:pt>
                      <c:pt idx="380">
                        <c:v>0.91782273485743515</c:v>
                      </c:pt>
                      <c:pt idx="381">
                        <c:v>0.9070395316452099</c:v>
                      </c:pt>
                      <c:pt idx="382">
                        <c:v>0.91569126584899452</c:v>
                      </c:pt>
                      <c:pt idx="383">
                        <c:v>0.92130007429691974</c:v>
                      </c:pt>
                      <c:pt idx="384">
                        <c:v>0.92070529294504055</c:v>
                      </c:pt>
                      <c:pt idx="385">
                        <c:v>0.93023803433898067</c:v>
                      </c:pt>
                      <c:pt idx="386">
                        <c:v>0.92944025593867863</c:v>
                      </c:pt>
                      <c:pt idx="387">
                        <c:v>0.94128513371415579</c:v>
                      </c:pt>
                      <c:pt idx="388">
                        <c:v>0.93679280903255668</c:v>
                      </c:pt>
                      <c:pt idx="389">
                        <c:v>0.94729384634747416</c:v>
                      </c:pt>
                      <c:pt idx="390">
                        <c:v>0.95540966834342234</c:v>
                      </c:pt>
                      <c:pt idx="391">
                        <c:v>0.9626607229130888</c:v>
                      </c:pt>
                      <c:pt idx="392">
                        <c:v>0.97374233178649583</c:v>
                      </c:pt>
                      <c:pt idx="393">
                        <c:v>0.96190760386343988</c:v>
                      </c:pt>
                      <c:pt idx="394">
                        <c:v>0.96341181199225367</c:v>
                      </c:pt>
                      <c:pt idx="395">
                        <c:v>0.98047777385316814</c:v>
                      </c:pt>
                      <c:pt idx="396">
                        <c:v>0.97722982107840151</c:v>
                      </c:pt>
                      <c:pt idx="397">
                        <c:v>0.96609746294288878</c:v>
                      </c:pt>
                      <c:pt idx="398">
                        <c:v>0.97849855263104479</c:v>
                      </c:pt>
                      <c:pt idx="399">
                        <c:v>0.98783844682898314</c:v>
                      </c:pt>
                      <c:pt idx="400">
                        <c:v>0.99474440641633066</c:v>
                      </c:pt>
                      <c:pt idx="401">
                        <c:v>0.99524377915545104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E542-4FC2-A1E6-C379A5B1ABBB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FinalData!$F$1</c15:sqref>
                        </c15:formulaRef>
                      </c:ext>
                    </c:extLst>
                    <c:strCache>
                      <c:ptCount val="1"/>
                      <c:pt idx="0">
                        <c:v>Lag2</c:v>
                      </c:pt>
                    </c:strCache>
                  </c:strRef>
                </c:tx>
                <c:spPr>
                  <a:ln w="317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FinalData!$J$2:$J$403</c15:sqref>
                        </c15:formulaRef>
                      </c:ext>
                    </c:extLst>
                    <c:numCache>
                      <c:formatCode>m/d/yyyy</c:formatCode>
                      <c:ptCount val="402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  <c:pt idx="396">
                        <c:v>45658</c:v>
                      </c:pt>
                      <c:pt idx="397">
                        <c:v>45689</c:v>
                      </c:pt>
                      <c:pt idx="398">
                        <c:v>45717</c:v>
                      </c:pt>
                      <c:pt idx="399">
                        <c:v>45748</c:v>
                      </c:pt>
                      <c:pt idx="400">
                        <c:v>45778</c:v>
                      </c:pt>
                      <c:pt idx="401">
                        <c:v>45809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FinalData!$F$2:$F$403</c15:sqref>
                        </c15:formulaRef>
                      </c:ext>
                    </c:extLst>
                    <c:numCache>
                      <c:formatCode>General</c:formatCode>
                      <c:ptCount val="402"/>
                      <c:pt idx="0">
                        <c:v>4.3015074560815887E-3</c:v>
                      </c:pt>
                      <c:pt idx="1">
                        <c:v>6.4004969367745393E-3</c:v>
                      </c:pt>
                      <c:pt idx="2">
                        <c:v>9.3845535485914035E-3</c:v>
                      </c:pt>
                      <c:pt idx="3">
                        <c:v>8.0183834127051795E-3</c:v>
                      </c:pt>
                      <c:pt idx="4">
                        <c:v>1.1798188454339874E-2</c:v>
                      </c:pt>
                      <c:pt idx="5">
                        <c:v>1.4668566719039905E-2</c:v>
                      </c:pt>
                      <c:pt idx="6">
                        <c:v>1.4232123064930637E-2</c:v>
                      </c:pt>
                      <c:pt idx="7">
                        <c:v>1.7169490355610228E-2</c:v>
                      </c:pt>
                      <c:pt idx="8">
                        <c:v>2.0723968673495487E-2</c:v>
                      </c:pt>
                      <c:pt idx="9">
                        <c:v>1.953237599925297E-2</c:v>
                      </c:pt>
                      <c:pt idx="10">
                        <c:v>1.7061901919946085E-2</c:v>
                      </c:pt>
                      <c:pt idx="11">
                        <c:v>2.5577628101287407E-2</c:v>
                      </c:pt>
                      <c:pt idx="12">
                        <c:v>2.7236113986902632E-2</c:v>
                      </c:pt>
                      <c:pt idx="13">
                        <c:v>2.6862599417804466E-2</c:v>
                      </c:pt>
                      <c:pt idx="14">
                        <c:v>3.2777933408848235E-2</c:v>
                      </c:pt>
                      <c:pt idx="15">
                        <c:v>3.1068698261127282E-2</c:v>
                      </c:pt>
                      <c:pt idx="16">
                        <c:v>3.3321965498621653E-2</c:v>
                      </c:pt>
                      <c:pt idx="17">
                        <c:v>3.5835068958097349E-2</c:v>
                      </c:pt>
                      <c:pt idx="18">
                        <c:v>4.0363933108412603E-2</c:v>
                      </c:pt>
                      <c:pt idx="19">
                        <c:v>4.2909516095635966E-2</c:v>
                      </c:pt>
                      <c:pt idx="20">
                        <c:v>4.1104872335156244E-2</c:v>
                      </c:pt>
                      <c:pt idx="21">
                        <c:v>4.659797246548035E-2</c:v>
                      </c:pt>
                      <c:pt idx="22">
                        <c:v>5.3205526391646267E-2</c:v>
                      </c:pt>
                      <c:pt idx="23">
                        <c:v>5.3067488398718686E-2</c:v>
                      </c:pt>
                      <c:pt idx="24">
                        <c:v>5.1342013487123896E-2</c:v>
                      </c:pt>
                      <c:pt idx="25">
                        <c:v>5.5249706669265028E-2</c:v>
                      </c:pt>
                      <c:pt idx="26">
                        <c:v>5.5609011444973593E-2</c:v>
                      </c:pt>
                      <c:pt idx="27">
                        <c:v>6.1329468269531361E-2</c:v>
                      </c:pt>
                      <c:pt idx="28">
                        <c:v>6.4751998505941724E-2</c:v>
                      </c:pt>
                      <c:pt idx="29">
                        <c:v>6.737269040108157E-2</c:v>
                      </c:pt>
                      <c:pt idx="30">
                        <c:v>6.8290237059953143E-2</c:v>
                      </c:pt>
                      <c:pt idx="31">
                        <c:v>6.9116435047034422E-2</c:v>
                      </c:pt>
                      <c:pt idx="32">
                        <c:v>7.1081446475768237E-2</c:v>
                      </c:pt>
                      <c:pt idx="33">
                        <c:v>6.5852242508393929E-2</c:v>
                      </c:pt>
                      <c:pt idx="34">
                        <c:v>6.9538668907754078E-2</c:v>
                      </c:pt>
                      <c:pt idx="35">
                        <c:v>6.9491979586616806E-2</c:v>
                      </c:pt>
                      <c:pt idx="36">
                        <c:v>7.490591086805598E-2</c:v>
                      </c:pt>
                      <c:pt idx="37">
                        <c:v>7.9700701151805248E-2</c:v>
                      </c:pt>
                      <c:pt idx="38">
                        <c:v>7.6933851381800908E-2</c:v>
                      </c:pt>
                      <c:pt idx="39">
                        <c:v>8.0522839197918056E-2</c:v>
                      </c:pt>
                      <c:pt idx="40">
                        <c:v>8.1105440726891825E-2</c:v>
                      </c:pt>
                      <c:pt idx="41">
                        <c:v>7.9759570295847904E-2</c:v>
                      </c:pt>
                      <c:pt idx="42">
                        <c:v>8.567896422786013E-2</c:v>
                      </c:pt>
                      <c:pt idx="43">
                        <c:v>8.6722369056753915E-2</c:v>
                      </c:pt>
                      <c:pt idx="44">
                        <c:v>8.6306225107486936E-2</c:v>
                      </c:pt>
                      <c:pt idx="45">
                        <c:v>9.227433833112067E-2</c:v>
                      </c:pt>
                      <c:pt idx="46">
                        <c:v>9.3616148821196135E-2</c:v>
                      </c:pt>
                      <c:pt idx="47">
                        <c:v>9.6744333337393268E-2</c:v>
                      </c:pt>
                      <c:pt idx="48">
                        <c:v>0.10032926121254197</c:v>
                      </c:pt>
                      <c:pt idx="49">
                        <c:v>9.7113787965522988E-2</c:v>
                      </c:pt>
                      <c:pt idx="50">
                        <c:v>9.9454343933839201E-2</c:v>
                      </c:pt>
                      <c:pt idx="51">
                        <c:v>9.9507123166429165E-2</c:v>
                      </c:pt>
                      <c:pt idx="52">
                        <c:v>0.10389997929430106</c:v>
                      </c:pt>
                      <c:pt idx="53">
                        <c:v>0.10819742680941419</c:v>
                      </c:pt>
                      <c:pt idx="54">
                        <c:v>0.10706064333824586</c:v>
                      </c:pt>
                      <c:pt idx="55">
                        <c:v>0.10799036982002282</c:v>
                      </c:pt>
                      <c:pt idx="56">
                        <c:v>0.1123121769809467</c:v>
                      </c:pt>
                      <c:pt idx="57">
                        <c:v>0.11524345436017361</c:v>
                      </c:pt>
                      <c:pt idx="58">
                        <c:v>0.11820924123763241</c:v>
                      </c:pt>
                      <c:pt idx="59">
                        <c:v>0.11183513391715284</c:v>
                      </c:pt>
                      <c:pt idx="60">
                        <c:v>0.11127689203398983</c:v>
                      </c:pt>
                      <c:pt idx="61">
                        <c:v>0.11609604196354985</c:v>
                      </c:pt>
                      <c:pt idx="62">
                        <c:v>0.12104916994506899</c:v>
                      </c:pt>
                      <c:pt idx="63">
                        <c:v>0.1213353957833453</c:v>
                      </c:pt>
                      <c:pt idx="64">
                        <c:v>0.12356836331599738</c:v>
                      </c:pt>
                      <c:pt idx="65">
                        <c:v>0.12369625145650383</c:v>
                      </c:pt>
                      <c:pt idx="66">
                        <c:v>0.12313394963237234</c:v>
                      </c:pt>
                      <c:pt idx="67">
                        <c:v>0.12528368837517104</c:v>
                      </c:pt>
                      <c:pt idx="68">
                        <c:v>0.12663970865863611</c:v>
                      </c:pt>
                      <c:pt idx="69">
                        <c:v>0.12603477745433581</c:v>
                      </c:pt>
                      <c:pt idx="70">
                        <c:v>0.12827586486892481</c:v>
                      </c:pt>
                      <c:pt idx="71">
                        <c:v>0.13512092534174552</c:v>
                      </c:pt>
                      <c:pt idx="72">
                        <c:v>0.13609937111514397</c:v>
                      </c:pt>
                      <c:pt idx="73">
                        <c:v>0.14027502040120338</c:v>
                      </c:pt>
                      <c:pt idx="74">
                        <c:v>0.13710014656386896</c:v>
                      </c:pt>
                      <c:pt idx="75">
                        <c:v>0.13320057326366475</c:v>
                      </c:pt>
                      <c:pt idx="76">
                        <c:v>0.13802175316370899</c:v>
                      </c:pt>
                      <c:pt idx="77">
                        <c:v>0.14549610448664077</c:v>
                      </c:pt>
                      <c:pt idx="78">
                        <c:v>0.14833806316456158</c:v>
                      </c:pt>
                      <c:pt idx="79">
                        <c:v>0.1528080581708342</c:v>
                      </c:pt>
                      <c:pt idx="80">
                        <c:v>0.15389206240941256</c:v>
                      </c:pt>
                      <c:pt idx="81">
                        <c:v>0.15965514861413915</c:v>
                      </c:pt>
                      <c:pt idx="82">
                        <c:v>0.16255800640658685</c:v>
                      </c:pt>
                      <c:pt idx="83">
                        <c:v>0.16588309805975421</c:v>
                      </c:pt>
                      <c:pt idx="84">
                        <c:v>0.16941524670231295</c:v>
                      </c:pt>
                      <c:pt idx="85">
                        <c:v>0.17123613022666651</c:v>
                      </c:pt>
                      <c:pt idx="86">
                        <c:v>0.17519457267091337</c:v>
                      </c:pt>
                      <c:pt idx="87">
                        <c:v>0.18022483953083321</c:v>
                      </c:pt>
                      <c:pt idx="88">
                        <c:v>0.18227510971990468</c:v>
                      </c:pt>
                      <c:pt idx="89">
                        <c:v>0.18093938914128188</c:v>
                      </c:pt>
                      <c:pt idx="90">
                        <c:v>0.18737642554677256</c:v>
                      </c:pt>
                      <c:pt idx="91">
                        <c:v>0.19785919312733194</c:v>
                      </c:pt>
                      <c:pt idx="92">
                        <c:v>0.1937018135756306</c:v>
                      </c:pt>
                      <c:pt idx="93">
                        <c:v>0.20182169551254725</c:v>
                      </c:pt>
                      <c:pt idx="94">
                        <c:v>0.2078953672013609</c:v>
                      </c:pt>
                      <c:pt idx="95">
                        <c:v>0.19778408421941546</c:v>
                      </c:pt>
                      <c:pt idx="96">
                        <c:v>0.2018318453649684</c:v>
                      </c:pt>
                      <c:pt idx="97">
                        <c:v>0.20524219577847339</c:v>
                      </c:pt>
                      <c:pt idx="98">
                        <c:v>0.20068085210041045</c:v>
                      </c:pt>
                      <c:pt idx="99">
                        <c:v>0.2033989825787933</c:v>
                      </c:pt>
                      <c:pt idx="100">
                        <c:v>0.20989894806929507</c:v>
                      </c:pt>
                      <c:pt idx="101">
                        <c:v>0.20965332164070336</c:v>
                      </c:pt>
                      <c:pt idx="102">
                        <c:v>0.20650077747869547</c:v>
                      </c:pt>
                      <c:pt idx="103">
                        <c:v>0.206496717537727</c:v>
                      </c:pt>
                      <c:pt idx="104">
                        <c:v>0.21359146438010793</c:v>
                      </c:pt>
                      <c:pt idx="105">
                        <c:v>0.21348996585589647</c:v>
                      </c:pt>
                      <c:pt idx="106">
                        <c:v>0.20785679776216054</c:v>
                      </c:pt>
                      <c:pt idx="107">
                        <c:v>0.21719263201913044</c:v>
                      </c:pt>
                      <c:pt idx="108">
                        <c:v>0.21950070845969899</c:v>
                      </c:pt>
                      <c:pt idx="109">
                        <c:v>0.21663033019499897</c:v>
                      </c:pt>
                      <c:pt idx="110">
                        <c:v>0.21358537446865522</c:v>
                      </c:pt>
                      <c:pt idx="111">
                        <c:v>0.21816092794010775</c:v>
                      </c:pt>
                      <c:pt idx="112">
                        <c:v>0.20504731861198738</c:v>
                      </c:pt>
                      <c:pt idx="113">
                        <c:v>0.24510269620679714</c:v>
                      </c:pt>
                      <c:pt idx="114">
                        <c:v>0.22728361529623359</c:v>
                      </c:pt>
                      <c:pt idx="115">
                        <c:v>0.21874758941004999</c:v>
                      </c:pt>
                      <c:pt idx="116">
                        <c:v>0.2202172880406319</c:v>
                      </c:pt>
                      <c:pt idx="117">
                        <c:v>0.22361951857219997</c:v>
                      </c:pt>
                      <c:pt idx="118">
                        <c:v>0.22212343032532306</c:v>
                      </c:pt>
                      <c:pt idx="119">
                        <c:v>0.22821537174849477</c:v>
                      </c:pt>
                      <c:pt idx="120">
                        <c:v>0.22384484529594939</c:v>
                      </c:pt>
                      <c:pt idx="121">
                        <c:v>0.22640666804704659</c:v>
                      </c:pt>
                      <c:pt idx="122">
                        <c:v>0.2338911692223995</c:v>
                      </c:pt>
                      <c:pt idx="123">
                        <c:v>0.23736444872091561</c:v>
                      </c:pt>
                      <c:pt idx="124">
                        <c:v>0.22727752538478091</c:v>
                      </c:pt>
                      <c:pt idx="125">
                        <c:v>0.23143896487745069</c:v>
                      </c:pt>
                      <c:pt idx="126">
                        <c:v>0.23188352841349688</c:v>
                      </c:pt>
                      <c:pt idx="127">
                        <c:v>0.23768112411645534</c:v>
                      </c:pt>
                      <c:pt idx="128">
                        <c:v>0.24212269953594875</c:v>
                      </c:pt>
                      <c:pt idx="129">
                        <c:v>0.2342809235553715</c:v>
                      </c:pt>
                      <c:pt idx="130">
                        <c:v>0.24044188397500701</c:v>
                      </c:pt>
                      <c:pt idx="131">
                        <c:v>0.2420841300967484</c:v>
                      </c:pt>
                      <c:pt idx="132">
                        <c:v>0.24211863959498028</c:v>
                      </c:pt>
                      <c:pt idx="133">
                        <c:v>0.25011469333235897</c:v>
                      </c:pt>
                      <c:pt idx="134">
                        <c:v>0.25488918391126592</c:v>
                      </c:pt>
                      <c:pt idx="135">
                        <c:v>0.26083496745957313</c:v>
                      </c:pt>
                      <c:pt idx="136">
                        <c:v>0.26002297926588147</c:v>
                      </c:pt>
                      <c:pt idx="137">
                        <c:v>0.25768445326804951</c:v>
                      </c:pt>
                      <c:pt idx="138">
                        <c:v>0.25991945077118578</c:v>
                      </c:pt>
                      <c:pt idx="139">
                        <c:v>0.26273907977378008</c:v>
                      </c:pt>
                      <c:pt idx="140">
                        <c:v>0.26459650276684976</c:v>
                      </c:pt>
                      <c:pt idx="141">
                        <c:v>0.26844329683446405</c:v>
                      </c:pt>
                      <c:pt idx="142">
                        <c:v>0.2792670994563739</c:v>
                      </c:pt>
                      <c:pt idx="143">
                        <c:v>0.27507115046547226</c:v>
                      </c:pt>
                      <c:pt idx="144">
                        <c:v>0.28249272255581404</c:v>
                      </c:pt>
                      <c:pt idx="145">
                        <c:v>0.27814858571956363</c:v>
                      </c:pt>
                      <c:pt idx="146">
                        <c:v>0.28263279051922585</c:v>
                      </c:pt>
                      <c:pt idx="147">
                        <c:v>0.28193448067265103</c:v>
                      </c:pt>
                      <c:pt idx="148">
                        <c:v>0.29383010771023388</c:v>
                      </c:pt>
                      <c:pt idx="149">
                        <c:v>0.29552310309408103</c:v>
                      </c:pt>
                      <c:pt idx="150">
                        <c:v>0.29954041468237053</c:v>
                      </c:pt>
                      <c:pt idx="151">
                        <c:v>0.30709596482467144</c:v>
                      </c:pt>
                      <c:pt idx="152">
                        <c:v>0.30041736193155749</c:v>
                      </c:pt>
                      <c:pt idx="153">
                        <c:v>0.30772322570429828</c:v>
                      </c:pt>
                      <c:pt idx="154">
                        <c:v>0.30982018521450699</c:v>
                      </c:pt>
                      <c:pt idx="155">
                        <c:v>0.31471241408149925</c:v>
                      </c:pt>
                      <c:pt idx="156">
                        <c:v>0.31097929836100185</c:v>
                      </c:pt>
                      <c:pt idx="157">
                        <c:v>0.33081008002143647</c:v>
                      </c:pt>
                      <c:pt idx="158">
                        <c:v>0.33535112399465711</c:v>
                      </c:pt>
                      <c:pt idx="159">
                        <c:v>0.32702012512738066</c:v>
                      </c:pt>
                      <c:pt idx="160">
                        <c:v>0.32899122646756718</c:v>
                      </c:pt>
                      <c:pt idx="161">
                        <c:v>0.32858929231168976</c:v>
                      </c:pt>
                      <c:pt idx="162">
                        <c:v>0.33382052624954833</c:v>
                      </c:pt>
                      <c:pt idx="163">
                        <c:v>0.3341392316155723</c:v>
                      </c:pt>
                      <c:pt idx="164">
                        <c:v>0.35209026060761078</c:v>
                      </c:pt>
                      <c:pt idx="165">
                        <c:v>0.34777454335813957</c:v>
                      </c:pt>
                      <c:pt idx="166">
                        <c:v>0.34986744292737981</c:v>
                      </c:pt>
                      <c:pt idx="167">
                        <c:v>0.35316208502328378</c:v>
                      </c:pt>
                      <c:pt idx="168">
                        <c:v>0.35077686970431449</c:v>
                      </c:pt>
                      <c:pt idx="169">
                        <c:v>0.35495657893134236</c:v>
                      </c:pt>
                      <c:pt idx="170">
                        <c:v>0.35699872923847686</c:v>
                      </c:pt>
                      <c:pt idx="171">
                        <c:v>0.35865924509457631</c:v>
                      </c:pt>
                      <c:pt idx="172">
                        <c:v>0.35378325599145788</c:v>
                      </c:pt>
                      <c:pt idx="173">
                        <c:v>0.35326561351797947</c:v>
                      </c:pt>
                      <c:pt idx="174">
                        <c:v>0.35525092465155556</c:v>
                      </c:pt>
                      <c:pt idx="175">
                        <c:v>0.36172450052576238</c:v>
                      </c:pt>
                      <c:pt idx="176">
                        <c:v>0.36171029073237276</c:v>
                      </c:pt>
                      <c:pt idx="177">
                        <c:v>0.36400212740906746</c:v>
                      </c:pt>
                      <c:pt idx="178">
                        <c:v>0.3686182802902046</c:v>
                      </c:pt>
                      <c:pt idx="179">
                        <c:v>0.36693340478829439</c:v>
                      </c:pt>
                      <c:pt idx="180">
                        <c:v>0.37584091527309194</c:v>
                      </c:pt>
                      <c:pt idx="181">
                        <c:v>0.3693653094284009</c:v>
                      </c:pt>
                      <c:pt idx="182">
                        <c:v>0.37216463872615291</c:v>
                      </c:pt>
                      <c:pt idx="183">
                        <c:v>0.3762022500192847</c:v>
                      </c:pt>
                      <c:pt idx="184">
                        <c:v>0.37868693389198121</c:v>
                      </c:pt>
                      <c:pt idx="185">
                        <c:v>0.38249515852039512</c:v>
                      </c:pt>
                      <c:pt idx="186">
                        <c:v>0.38955336589405992</c:v>
                      </c:pt>
                      <c:pt idx="187">
                        <c:v>0.37988664644816067</c:v>
                      </c:pt>
                      <c:pt idx="188">
                        <c:v>0.38236118046843598</c:v>
                      </c:pt>
                      <c:pt idx="189">
                        <c:v>0.3770649874750821</c:v>
                      </c:pt>
                      <c:pt idx="190">
                        <c:v>0.37833168905724113</c:v>
                      </c:pt>
                      <c:pt idx="191">
                        <c:v>0.37740602251643263</c:v>
                      </c:pt>
                      <c:pt idx="192">
                        <c:v>0.38359946246381577</c:v>
                      </c:pt>
                      <c:pt idx="193">
                        <c:v>0.38497172251115469</c:v>
                      </c:pt>
                      <c:pt idx="194">
                        <c:v>0.38200187569272742</c:v>
                      </c:pt>
                      <c:pt idx="195">
                        <c:v>0.37590181438761883</c:v>
                      </c:pt>
                      <c:pt idx="196">
                        <c:v>0.3642741434539542</c:v>
                      </c:pt>
                      <c:pt idx="197">
                        <c:v>0.33869651535266676</c:v>
                      </c:pt>
                      <c:pt idx="198">
                        <c:v>0.31114575594070865</c:v>
                      </c:pt>
                      <c:pt idx="199">
                        <c:v>0.29526123690161543</c:v>
                      </c:pt>
                      <c:pt idx="200">
                        <c:v>0.30516343292368531</c:v>
                      </c:pt>
                      <c:pt idx="201">
                        <c:v>0.30309286302977156</c:v>
                      </c:pt>
                      <c:pt idx="202">
                        <c:v>0.29211681262154449</c:v>
                      </c:pt>
                      <c:pt idx="203">
                        <c:v>0.29517800811176204</c:v>
                      </c:pt>
                      <c:pt idx="204">
                        <c:v>0.30062847886191735</c:v>
                      </c:pt>
                      <c:pt idx="205">
                        <c:v>0.31127161411073084</c:v>
                      </c:pt>
                      <c:pt idx="206">
                        <c:v>0.31425567072254768</c:v>
                      </c:pt>
                      <c:pt idx="207">
                        <c:v>0.32631978531032158</c:v>
                      </c:pt>
                      <c:pt idx="208">
                        <c:v>0.3092233738921436</c:v>
                      </c:pt>
                      <c:pt idx="209">
                        <c:v>0.31656780710408472</c:v>
                      </c:pt>
                      <c:pt idx="210">
                        <c:v>0.32167521284240524</c:v>
                      </c:pt>
                      <c:pt idx="211">
                        <c:v>0.32446845222870457</c:v>
                      </c:pt>
                      <c:pt idx="212">
                        <c:v>0.32521142142593246</c:v>
                      </c:pt>
                      <c:pt idx="213">
                        <c:v>0.32518097186866901</c:v>
                      </c:pt>
                      <c:pt idx="214">
                        <c:v>0.33982720891238244</c:v>
                      </c:pt>
                      <c:pt idx="215">
                        <c:v>0.34514167164009435</c:v>
                      </c:pt>
                      <c:pt idx="216">
                        <c:v>0.33908220974467029</c:v>
                      </c:pt>
                      <c:pt idx="217">
                        <c:v>0.3379251265686597</c:v>
                      </c:pt>
                      <c:pt idx="218">
                        <c:v>0.33986374838109856</c:v>
                      </c:pt>
                      <c:pt idx="219">
                        <c:v>0.34233625243088966</c:v>
                      </c:pt>
                      <c:pt idx="220">
                        <c:v>0.34847488317519865</c:v>
                      </c:pt>
                      <c:pt idx="221">
                        <c:v>0.35642018765047156</c:v>
                      </c:pt>
                      <c:pt idx="222">
                        <c:v>0.36250197922122213</c:v>
                      </c:pt>
                      <c:pt idx="223">
                        <c:v>0.36803567876123083</c:v>
                      </c:pt>
                      <c:pt idx="224">
                        <c:v>0.37260920226219912</c:v>
                      </c:pt>
                      <c:pt idx="225">
                        <c:v>0.37743038216224334</c:v>
                      </c:pt>
                      <c:pt idx="226">
                        <c:v>0.38374765030916452</c:v>
                      </c:pt>
                      <c:pt idx="227">
                        <c:v>0.38786443045118124</c:v>
                      </c:pt>
                      <c:pt idx="228">
                        <c:v>0.38628105347348252</c:v>
                      </c:pt>
                      <c:pt idx="229">
                        <c:v>0.39175994381041701</c:v>
                      </c:pt>
                      <c:pt idx="230">
                        <c:v>0.39138236930035036</c:v>
                      </c:pt>
                      <c:pt idx="231">
                        <c:v>0.39187159218704959</c:v>
                      </c:pt>
                      <c:pt idx="232">
                        <c:v>0.39968291861036342</c:v>
                      </c:pt>
                      <c:pt idx="233">
                        <c:v>0.40383826819158047</c:v>
                      </c:pt>
                      <c:pt idx="234">
                        <c:v>0.40618491407134938</c:v>
                      </c:pt>
                      <c:pt idx="235">
                        <c:v>0.40796925812698681</c:v>
                      </c:pt>
                      <c:pt idx="236">
                        <c:v>0.41317207247806614</c:v>
                      </c:pt>
                      <c:pt idx="237">
                        <c:v>0.42269060407861669</c:v>
                      </c:pt>
                      <c:pt idx="238">
                        <c:v>0.42553865266799018</c:v>
                      </c:pt>
                      <c:pt idx="239">
                        <c:v>0.42142593246694193</c:v>
                      </c:pt>
                      <c:pt idx="240">
                        <c:v>0.42009021188831913</c:v>
                      </c:pt>
                      <c:pt idx="241">
                        <c:v>0.41252857183456554</c:v>
                      </c:pt>
                      <c:pt idx="242">
                        <c:v>0.4157704346978795</c:v>
                      </c:pt>
                      <c:pt idx="243">
                        <c:v>0.42560767166445401</c:v>
                      </c:pt>
                      <c:pt idx="244">
                        <c:v>0.43127737922690607</c:v>
                      </c:pt>
                      <c:pt idx="245">
                        <c:v>0.43162653415019347</c:v>
                      </c:pt>
                      <c:pt idx="246">
                        <c:v>0.43449082250344079</c:v>
                      </c:pt>
                      <c:pt idx="247">
                        <c:v>0.43725361233247667</c:v>
                      </c:pt>
                      <c:pt idx="248">
                        <c:v>0.44281167151829615</c:v>
                      </c:pt>
                      <c:pt idx="249">
                        <c:v>0.45290062482491505</c:v>
                      </c:pt>
                      <c:pt idx="250">
                        <c:v>0.44665034570397344</c:v>
                      </c:pt>
                      <c:pt idx="251">
                        <c:v>0.44330292437547958</c:v>
                      </c:pt>
                      <c:pt idx="252">
                        <c:v>0.44805914522002849</c:v>
                      </c:pt>
                      <c:pt idx="253">
                        <c:v>0.45077727569841136</c:v>
                      </c:pt>
                      <c:pt idx="254">
                        <c:v>0.45496307483689186</c:v>
                      </c:pt>
                      <c:pt idx="255">
                        <c:v>0.45354209549793145</c:v>
                      </c:pt>
                      <c:pt idx="256">
                        <c:v>0.45379584180846011</c:v>
                      </c:pt>
                      <c:pt idx="257">
                        <c:v>0.45537109890422195</c:v>
                      </c:pt>
                      <c:pt idx="258">
                        <c:v>0.45623180638953509</c:v>
                      </c:pt>
                      <c:pt idx="259">
                        <c:v>0.46157265873354203</c:v>
                      </c:pt>
                      <c:pt idx="260">
                        <c:v>0.45585829182043691</c:v>
                      </c:pt>
                      <c:pt idx="261">
                        <c:v>0.46529968454258674</c:v>
                      </c:pt>
                      <c:pt idx="262">
                        <c:v>0.47331806795529191</c:v>
                      </c:pt>
                      <c:pt idx="263">
                        <c:v>0.48173635555339023</c:v>
                      </c:pt>
                      <c:pt idx="264">
                        <c:v>0.48245699507529161</c:v>
                      </c:pt>
                      <c:pt idx="265">
                        <c:v>0.48414390054768602</c:v>
                      </c:pt>
                      <c:pt idx="266">
                        <c:v>0.4850106979444519</c:v>
                      </c:pt>
                      <c:pt idx="267">
                        <c:v>0.49104377022358092</c:v>
                      </c:pt>
                      <c:pt idx="268">
                        <c:v>0.48751162158102224</c:v>
                      </c:pt>
                      <c:pt idx="269">
                        <c:v>0.48963497070752593</c:v>
                      </c:pt>
                      <c:pt idx="270">
                        <c:v>0.49194101717761024</c:v>
                      </c:pt>
                      <c:pt idx="271">
                        <c:v>0.48427381865867669</c:v>
                      </c:pt>
                      <c:pt idx="272">
                        <c:v>0.47988096253080481</c:v>
                      </c:pt>
                      <c:pt idx="273">
                        <c:v>0.47800526980337704</c:v>
                      </c:pt>
                      <c:pt idx="274">
                        <c:v>0.49036170014087993</c:v>
                      </c:pt>
                      <c:pt idx="275">
                        <c:v>0.49079205388353653</c:v>
                      </c:pt>
                      <c:pt idx="276">
                        <c:v>0.49741381760309206</c:v>
                      </c:pt>
                      <c:pt idx="277">
                        <c:v>0.49750313630439813</c:v>
                      </c:pt>
                      <c:pt idx="278">
                        <c:v>0.50512364550219435</c:v>
                      </c:pt>
                      <c:pt idx="279">
                        <c:v>0.50434616680673461</c:v>
                      </c:pt>
                      <c:pt idx="280">
                        <c:v>0.50024765639907598</c:v>
                      </c:pt>
                      <c:pt idx="281">
                        <c:v>0.49723315022999565</c:v>
                      </c:pt>
                      <c:pt idx="282">
                        <c:v>0.50020502701890712</c:v>
                      </c:pt>
                      <c:pt idx="283">
                        <c:v>0.50227762688330513</c:v>
                      </c:pt>
                      <c:pt idx="284">
                        <c:v>0.49807964792191922</c:v>
                      </c:pt>
                      <c:pt idx="285">
                        <c:v>0.50324795277476664</c:v>
                      </c:pt>
                      <c:pt idx="286">
                        <c:v>0.50115505320552645</c:v>
                      </c:pt>
                      <c:pt idx="287">
                        <c:v>0.50544641080918684</c:v>
                      </c:pt>
                      <c:pt idx="288">
                        <c:v>0.50785598577396684</c:v>
                      </c:pt>
                      <c:pt idx="289">
                        <c:v>0.517628263685046</c:v>
                      </c:pt>
                      <c:pt idx="290">
                        <c:v>0.51647524045000381</c:v>
                      </c:pt>
                      <c:pt idx="291">
                        <c:v>0.51596368788797808</c:v>
                      </c:pt>
                      <c:pt idx="292">
                        <c:v>0.52104673398048795</c:v>
                      </c:pt>
                      <c:pt idx="293">
                        <c:v>0.52275190918724046</c:v>
                      </c:pt>
                      <c:pt idx="294">
                        <c:v>0.52080922743383307</c:v>
                      </c:pt>
                      <c:pt idx="295">
                        <c:v>0.53387005752936356</c:v>
                      </c:pt>
                      <c:pt idx="296">
                        <c:v>0.54027461440710656</c:v>
                      </c:pt>
                      <c:pt idx="297">
                        <c:v>0.54004319777190435</c:v>
                      </c:pt>
                      <c:pt idx="298">
                        <c:v>0.53897746326768414</c:v>
                      </c:pt>
                      <c:pt idx="299">
                        <c:v>0.54203053887596475</c:v>
                      </c:pt>
                      <c:pt idx="300">
                        <c:v>0.53690486340328614</c:v>
                      </c:pt>
                      <c:pt idx="301">
                        <c:v>0.54189453085352135</c:v>
                      </c:pt>
                      <c:pt idx="302">
                        <c:v>0.54198790949579589</c:v>
                      </c:pt>
                      <c:pt idx="303">
                        <c:v>0.54298868494452091</c:v>
                      </c:pt>
                      <c:pt idx="304">
                        <c:v>0.56210085705353841</c:v>
                      </c:pt>
                      <c:pt idx="305">
                        <c:v>0.5620561977028854</c:v>
                      </c:pt>
                      <c:pt idx="306">
                        <c:v>0.57063282299875362</c:v>
                      </c:pt>
                      <c:pt idx="307">
                        <c:v>0.57534438449264946</c:v>
                      </c:pt>
                      <c:pt idx="308">
                        <c:v>0.57058816364810061</c:v>
                      </c:pt>
                      <c:pt idx="309">
                        <c:v>0.5752672456142488</c:v>
                      </c:pt>
                      <c:pt idx="310">
                        <c:v>0.57441465801087255</c:v>
                      </c:pt>
                      <c:pt idx="311">
                        <c:v>0.57606299404406658</c:v>
                      </c:pt>
                      <c:pt idx="312">
                        <c:v>0.58913803393298658</c:v>
                      </c:pt>
                      <c:pt idx="313">
                        <c:v>0.58440414276376418</c:v>
                      </c:pt>
                      <c:pt idx="314">
                        <c:v>0.58858994190224478</c:v>
                      </c:pt>
                      <c:pt idx="315">
                        <c:v>0.58851077305335986</c:v>
                      </c:pt>
                      <c:pt idx="316">
                        <c:v>0.58730700055621188</c:v>
                      </c:pt>
                      <c:pt idx="317">
                        <c:v>0.59635254903393708</c:v>
                      </c:pt>
                      <c:pt idx="318">
                        <c:v>0.60187000881007191</c:v>
                      </c:pt>
                      <c:pt idx="319">
                        <c:v>0.58221989452273359</c:v>
                      </c:pt>
                      <c:pt idx="320">
                        <c:v>0.58488727573901078</c:v>
                      </c:pt>
                      <c:pt idx="321">
                        <c:v>0.58681168775806003</c:v>
                      </c:pt>
                      <c:pt idx="322">
                        <c:v>0.6010255410886326</c:v>
                      </c:pt>
                      <c:pt idx="323">
                        <c:v>0.60008972469540289</c:v>
                      </c:pt>
                      <c:pt idx="324">
                        <c:v>0.60979095363953406</c:v>
                      </c:pt>
                      <c:pt idx="325">
                        <c:v>0.60898302538681093</c:v>
                      </c:pt>
                      <c:pt idx="326">
                        <c:v>0.61545457129053338</c:v>
                      </c:pt>
                      <c:pt idx="327">
                        <c:v>0.62198092639733016</c:v>
                      </c:pt>
                      <c:pt idx="328">
                        <c:v>0.61393412339784581</c:v>
                      </c:pt>
                      <c:pt idx="329">
                        <c:v>0.61611025175693945</c:v>
                      </c:pt>
                      <c:pt idx="330">
                        <c:v>0.62303854101961353</c:v>
                      </c:pt>
                      <c:pt idx="331">
                        <c:v>0.62426261322160381</c:v>
                      </c:pt>
                      <c:pt idx="332">
                        <c:v>0.62046859838657942</c:v>
                      </c:pt>
                      <c:pt idx="333">
                        <c:v>0.62087053254245683</c:v>
                      </c:pt>
                      <c:pt idx="334">
                        <c:v>0.56602478999955341</c:v>
                      </c:pt>
                      <c:pt idx="335">
                        <c:v>0.46319054520947267</c:v>
                      </c:pt>
                      <c:pt idx="336">
                        <c:v>0.60054037814290184</c:v>
                      </c:pt>
                      <c:pt idx="337">
                        <c:v>0.65706084633529427</c:v>
                      </c:pt>
                      <c:pt idx="338">
                        <c:v>0.66938885708601792</c:v>
                      </c:pt>
                      <c:pt idx="339">
                        <c:v>0.67308949327876777</c:v>
                      </c:pt>
                      <c:pt idx="340">
                        <c:v>0.69137140745973558</c:v>
                      </c:pt>
                      <c:pt idx="341">
                        <c:v>0.68743529469081521</c:v>
                      </c:pt>
                      <c:pt idx="342">
                        <c:v>0.68198685391114411</c:v>
                      </c:pt>
                      <c:pt idx="343">
                        <c:v>0.69796272162202766</c:v>
                      </c:pt>
                      <c:pt idx="344">
                        <c:v>0.72974190955263507</c:v>
                      </c:pt>
                      <c:pt idx="345">
                        <c:v>0.70376031732498612</c:v>
                      </c:pt>
                      <c:pt idx="346">
                        <c:v>0.80688687786479585</c:v>
                      </c:pt>
                      <c:pt idx="347">
                        <c:v>0.81214856135991786</c:v>
                      </c:pt>
                      <c:pt idx="348">
                        <c:v>0.80076042694339222</c:v>
                      </c:pt>
                      <c:pt idx="349">
                        <c:v>0.80799321177870076</c:v>
                      </c:pt>
                      <c:pt idx="350">
                        <c:v>0.78454299274488548</c:v>
                      </c:pt>
                      <c:pt idx="351">
                        <c:v>0.79241318831224195</c:v>
                      </c:pt>
                      <c:pt idx="352">
                        <c:v>0.80088628511341442</c:v>
                      </c:pt>
                      <c:pt idx="353">
                        <c:v>0.81856732803105048</c:v>
                      </c:pt>
                      <c:pt idx="354">
                        <c:v>0.83018078917132543</c:v>
                      </c:pt>
                      <c:pt idx="355">
                        <c:v>0.82245675147883346</c:v>
                      </c:pt>
                      <c:pt idx="356">
                        <c:v>0.84880576836412802</c:v>
                      </c:pt>
                      <c:pt idx="357">
                        <c:v>0.85595126446861458</c:v>
                      </c:pt>
                      <c:pt idx="358">
                        <c:v>0.87768818841374041</c:v>
                      </c:pt>
                      <c:pt idx="359">
                        <c:v>0.89079773780089233</c:v>
                      </c:pt>
                      <c:pt idx="360">
                        <c:v>0.88856680023872447</c:v>
                      </c:pt>
                      <c:pt idx="361">
                        <c:v>0.9001619916446415</c:v>
                      </c:pt>
                      <c:pt idx="362">
                        <c:v>0.88739550726932426</c:v>
                      </c:pt>
                      <c:pt idx="363">
                        <c:v>0.89131132033340232</c:v>
                      </c:pt>
                      <c:pt idx="364">
                        <c:v>0.88775887198600134</c:v>
                      </c:pt>
                      <c:pt idx="365">
                        <c:v>0.8990455078783155</c:v>
                      </c:pt>
                      <c:pt idx="366">
                        <c:v>0.88148626318973322</c:v>
                      </c:pt>
                      <c:pt idx="367">
                        <c:v>0.86679536679536684</c:v>
                      </c:pt>
                      <c:pt idx="368">
                        <c:v>0.91317004250758194</c:v>
                      </c:pt>
                      <c:pt idx="369">
                        <c:v>0.90139824366953702</c:v>
                      </c:pt>
                      <c:pt idx="370">
                        <c:v>0.88647187069900002</c:v>
                      </c:pt>
                      <c:pt idx="371">
                        <c:v>0.89674758129016807</c:v>
                      </c:pt>
                      <c:pt idx="372">
                        <c:v>0.90164387009812874</c:v>
                      </c:pt>
                      <c:pt idx="373">
                        <c:v>0.90648331973253105</c:v>
                      </c:pt>
                      <c:pt idx="374">
                        <c:v>0.90767491240677356</c:v>
                      </c:pt>
                      <c:pt idx="375">
                        <c:v>0.91972075726018943</c:v>
                      </c:pt>
                      <c:pt idx="376">
                        <c:v>0.92736359613331221</c:v>
                      </c:pt>
                      <c:pt idx="377">
                        <c:v>0.92038252763804818</c:v>
                      </c:pt>
                      <c:pt idx="378">
                        <c:v>0.91642408519380125</c:v>
                      </c:pt>
                      <c:pt idx="379">
                        <c:v>0.91782273485743515</c:v>
                      </c:pt>
                      <c:pt idx="380">
                        <c:v>0.9070395316452099</c:v>
                      </c:pt>
                      <c:pt idx="381">
                        <c:v>0.91569126584899452</c:v>
                      </c:pt>
                      <c:pt idx="382">
                        <c:v>0.92130007429691974</c:v>
                      </c:pt>
                      <c:pt idx="383">
                        <c:v>0.92070529294504055</c:v>
                      </c:pt>
                      <c:pt idx="384">
                        <c:v>0.93023803433898067</c:v>
                      </c:pt>
                      <c:pt idx="385">
                        <c:v>0.92944025593867863</c:v>
                      </c:pt>
                      <c:pt idx="386">
                        <c:v>0.94128513371415579</c:v>
                      </c:pt>
                      <c:pt idx="387">
                        <c:v>0.93679280903255668</c:v>
                      </c:pt>
                      <c:pt idx="388">
                        <c:v>0.94729384634747416</c:v>
                      </c:pt>
                      <c:pt idx="389">
                        <c:v>0.95540966834342234</c:v>
                      </c:pt>
                      <c:pt idx="390">
                        <c:v>0.9626607229130888</c:v>
                      </c:pt>
                      <c:pt idx="391">
                        <c:v>0.97374233178649583</c:v>
                      </c:pt>
                      <c:pt idx="392">
                        <c:v>0.96190760386343988</c:v>
                      </c:pt>
                      <c:pt idx="393">
                        <c:v>0.96341181199225367</c:v>
                      </c:pt>
                      <c:pt idx="394">
                        <c:v>0.98047777385316814</c:v>
                      </c:pt>
                      <c:pt idx="395">
                        <c:v>0.97722982107840151</c:v>
                      </c:pt>
                      <c:pt idx="396">
                        <c:v>0.96609746294288878</c:v>
                      </c:pt>
                      <c:pt idx="397">
                        <c:v>0.97849855263104479</c:v>
                      </c:pt>
                      <c:pt idx="398">
                        <c:v>0.98783844682898314</c:v>
                      </c:pt>
                      <c:pt idx="399">
                        <c:v>0.99474440641633066</c:v>
                      </c:pt>
                      <c:pt idx="400">
                        <c:v>0.99524377915545104</c:v>
                      </c:pt>
                      <c:pt idx="401">
                        <c:v>0.99311434011749466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542-4FC2-A1E6-C379A5B1ABBB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FinalData!$G$1</c15:sqref>
                        </c15:formulaRef>
                      </c:ext>
                    </c:extLst>
                    <c:strCache>
                      <c:ptCount val="1"/>
                      <c:pt idx="0">
                        <c:v>Lag1</c:v>
                      </c:pt>
                    </c:strCache>
                  </c:strRef>
                </c:tx>
                <c:spPr>
                  <a:ln w="317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FinalData!$J$2:$J$403</c15:sqref>
                        </c15:formulaRef>
                      </c:ext>
                    </c:extLst>
                    <c:numCache>
                      <c:formatCode>m/d/yyyy</c:formatCode>
                      <c:ptCount val="402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  <c:pt idx="396">
                        <c:v>45658</c:v>
                      </c:pt>
                      <c:pt idx="397">
                        <c:v>45689</c:v>
                      </c:pt>
                      <c:pt idx="398">
                        <c:v>45717</c:v>
                      </c:pt>
                      <c:pt idx="399">
                        <c:v>45748</c:v>
                      </c:pt>
                      <c:pt idx="400">
                        <c:v>45778</c:v>
                      </c:pt>
                      <c:pt idx="401">
                        <c:v>45809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FinalData!$G$2:$G$403</c15:sqref>
                        </c15:formulaRef>
                      </c:ext>
                    </c:extLst>
                    <c:numCache>
                      <c:formatCode>General</c:formatCode>
                      <c:ptCount val="402"/>
                      <c:pt idx="0">
                        <c:v>6.4004969367745393E-3</c:v>
                      </c:pt>
                      <c:pt idx="1">
                        <c:v>9.3845535485914035E-3</c:v>
                      </c:pt>
                      <c:pt idx="2">
                        <c:v>8.0183834127051795E-3</c:v>
                      </c:pt>
                      <c:pt idx="3">
                        <c:v>1.1798188454339874E-2</c:v>
                      </c:pt>
                      <c:pt idx="4">
                        <c:v>1.4668566719039905E-2</c:v>
                      </c:pt>
                      <c:pt idx="5">
                        <c:v>1.4232123064930637E-2</c:v>
                      </c:pt>
                      <c:pt idx="6">
                        <c:v>1.7169490355610228E-2</c:v>
                      </c:pt>
                      <c:pt idx="7">
                        <c:v>2.0723968673495487E-2</c:v>
                      </c:pt>
                      <c:pt idx="8">
                        <c:v>1.953237599925297E-2</c:v>
                      </c:pt>
                      <c:pt idx="9">
                        <c:v>1.7061901919946085E-2</c:v>
                      </c:pt>
                      <c:pt idx="10">
                        <c:v>2.5577628101287407E-2</c:v>
                      </c:pt>
                      <c:pt idx="11">
                        <c:v>2.7236113986902632E-2</c:v>
                      </c:pt>
                      <c:pt idx="12">
                        <c:v>2.6862599417804466E-2</c:v>
                      </c:pt>
                      <c:pt idx="13">
                        <c:v>3.2777933408848235E-2</c:v>
                      </c:pt>
                      <c:pt idx="14">
                        <c:v>3.1068698261127282E-2</c:v>
                      </c:pt>
                      <c:pt idx="15">
                        <c:v>3.3321965498621653E-2</c:v>
                      </c:pt>
                      <c:pt idx="16">
                        <c:v>3.5835068958097349E-2</c:v>
                      </c:pt>
                      <c:pt idx="17">
                        <c:v>4.0363933108412603E-2</c:v>
                      </c:pt>
                      <c:pt idx="18">
                        <c:v>4.2909516095635966E-2</c:v>
                      </c:pt>
                      <c:pt idx="19">
                        <c:v>4.1104872335156244E-2</c:v>
                      </c:pt>
                      <c:pt idx="20">
                        <c:v>4.659797246548035E-2</c:v>
                      </c:pt>
                      <c:pt idx="21">
                        <c:v>5.3205526391646267E-2</c:v>
                      </c:pt>
                      <c:pt idx="22">
                        <c:v>5.3067488398718686E-2</c:v>
                      </c:pt>
                      <c:pt idx="23">
                        <c:v>5.1342013487123896E-2</c:v>
                      </c:pt>
                      <c:pt idx="24">
                        <c:v>5.5249706669265028E-2</c:v>
                      </c:pt>
                      <c:pt idx="25">
                        <c:v>5.5609011444973593E-2</c:v>
                      </c:pt>
                      <c:pt idx="26">
                        <c:v>6.1329468269531361E-2</c:v>
                      </c:pt>
                      <c:pt idx="27">
                        <c:v>6.4751998505941724E-2</c:v>
                      </c:pt>
                      <c:pt idx="28">
                        <c:v>6.737269040108157E-2</c:v>
                      </c:pt>
                      <c:pt idx="29">
                        <c:v>6.8290237059953143E-2</c:v>
                      </c:pt>
                      <c:pt idx="30">
                        <c:v>6.9116435047034422E-2</c:v>
                      </c:pt>
                      <c:pt idx="31">
                        <c:v>7.1081446475768237E-2</c:v>
                      </c:pt>
                      <c:pt idx="32">
                        <c:v>6.5852242508393929E-2</c:v>
                      </c:pt>
                      <c:pt idx="33">
                        <c:v>6.9538668907754078E-2</c:v>
                      </c:pt>
                      <c:pt idx="34">
                        <c:v>6.9491979586616806E-2</c:v>
                      </c:pt>
                      <c:pt idx="35">
                        <c:v>7.490591086805598E-2</c:v>
                      </c:pt>
                      <c:pt idx="36">
                        <c:v>7.9700701151805248E-2</c:v>
                      </c:pt>
                      <c:pt idx="37">
                        <c:v>7.6933851381800908E-2</c:v>
                      </c:pt>
                      <c:pt idx="38">
                        <c:v>8.0522839197918056E-2</c:v>
                      </c:pt>
                      <c:pt idx="39">
                        <c:v>8.1105440726891825E-2</c:v>
                      </c:pt>
                      <c:pt idx="40">
                        <c:v>7.9759570295847904E-2</c:v>
                      </c:pt>
                      <c:pt idx="41">
                        <c:v>8.567896422786013E-2</c:v>
                      </c:pt>
                      <c:pt idx="42">
                        <c:v>8.6722369056753915E-2</c:v>
                      </c:pt>
                      <c:pt idx="43">
                        <c:v>8.6306225107486936E-2</c:v>
                      </c:pt>
                      <c:pt idx="44">
                        <c:v>9.227433833112067E-2</c:v>
                      </c:pt>
                      <c:pt idx="45">
                        <c:v>9.3616148821196135E-2</c:v>
                      </c:pt>
                      <c:pt idx="46">
                        <c:v>9.6744333337393268E-2</c:v>
                      </c:pt>
                      <c:pt idx="47">
                        <c:v>0.10032926121254197</c:v>
                      </c:pt>
                      <c:pt idx="48">
                        <c:v>9.7113787965522988E-2</c:v>
                      </c:pt>
                      <c:pt idx="49">
                        <c:v>9.9454343933839201E-2</c:v>
                      </c:pt>
                      <c:pt idx="50">
                        <c:v>9.9507123166429165E-2</c:v>
                      </c:pt>
                      <c:pt idx="51">
                        <c:v>0.10389997929430106</c:v>
                      </c:pt>
                      <c:pt idx="52">
                        <c:v>0.10819742680941419</c:v>
                      </c:pt>
                      <c:pt idx="53">
                        <c:v>0.10706064333824586</c:v>
                      </c:pt>
                      <c:pt idx="54">
                        <c:v>0.10799036982002282</c:v>
                      </c:pt>
                      <c:pt idx="55">
                        <c:v>0.1123121769809467</c:v>
                      </c:pt>
                      <c:pt idx="56">
                        <c:v>0.11524345436017361</c:v>
                      </c:pt>
                      <c:pt idx="57">
                        <c:v>0.11820924123763241</c:v>
                      </c:pt>
                      <c:pt idx="58">
                        <c:v>0.11183513391715284</c:v>
                      </c:pt>
                      <c:pt idx="59">
                        <c:v>0.11127689203398983</c:v>
                      </c:pt>
                      <c:pt idx="60">
                        <c:v>0.11609604196354985</c:v>
                      </c:pt>
                      <c:pt idx="61">
                        <c:v>0.12104916994506899</c:v>
                      </c:pt>
                      <c:pt idx="62">
                        <c:v>0.1213353957833453</c:v>
                      </c:pt>
                      <c:pt idx="63">
                        <c:v>0.12356836331599738</c:v>
                      </c:pt>
                      <c:pt idx="64">
                        <c:v>0.12369625145650383</c:v>
                      </c:pt>
                      <c:pt idx="65">
                        <c:v>0.12313394963237234</c:v>
                      </c:pt>
                      <c:pt idx="66">
                        <c:v>0.12528368837517104</c:v>
                      </c:pt>
                      <c:pt idx="67">
                        <c:v>0.12663970865863611</c:v>
                      </c:pt>
                      <c:pt idx="68">
                        <c:v>0.12603477745433581</c:v>
                      </c:pt>
                      <c:pt idx="69">
                        <c:v>0.12827586486892481</c:v>
                      </c:pt>
                      <c:pt idx="70">
                        <c:v>0.13512092534174552</c:v>
                      </c:pt>
                      <c:pt idx="71">
                        <c:v>0.13609937111514397</c:v>
                      </c:pt>
                      <c:pt idx="72">
                        <c:v>0.14027502040120338</c:v>
                      </c:pt>
                      <c:pt idx="73">
                        <c:v>0.13710014656386896</c:v>
                      </c:pt>
                      <c:pt idx="74">
                        <c:v>0.13320057326366475</c:v>
                      </c:pt>
                      <c:pt idx="75">
                        <c:v>0.13802175316370899</c:v>
                      </c:pt>
                      <c:pt idx="76">
                        <c:v>0.14549610448664077</c:v>
                      </c:pt>
                      <c:pt idx="77">
                        <c:v>0.14833806316456158</c:v>
                      </c:pt>
                      <c:pt idx="78">
                        <c:v>0.1528080581708342</c:v>
                      </c:pt>
                      <c:pt idx="79">
                        <c:v>0.15389206240941256</c:v>
                      </c:pt>
                      <c:pt idx="80">
                        <c:v>0.15965514861413915</c:v>
                      </c:pt>
                      <c:pt idx="81">
                        <c:v>0.16255800640658685</c:v>
                      </c:pt>
                      <c:pt idx="82">
                        <c:v>0.16588309805975421</c:v>
                      </c:pt>
                      <c:pt idx="83">
                        <c:v>0.16941524670231295</c:v>
                      </c:pt>
                      <c:pt idx="84">
                        <c:v>0.17123613022666651</c:v>
                      </c:pt>
                      <c:pt idx="85">
                        <c:v>0.17519457267091337</c:v>
                      </c:pt>
                      <c:pt idx="86">
                        <c:v>0.18022483953083321</c:v>
                      </c:pt>
                      <c:pt idx="87">
                        <c:v>0.18227510971990468</c:v>
                      </c:pt>
                      <c:pt idx="88">
                        <c:v>0.18093938914128188</c:v>
                      </c:pt>
                      <c:pt idx="89">
                        <c:v>0.18737642554677256</c:v>
                      </c:pt>
                      <c:pt idx="90">
                        <c:v>0.19785919312733194</c:v>
                      </c:pt>
                      <c:pt idx="91">
                        <c:v>0.1937018135756306</c:v>
                      </c:pt>
                      <c:pt idx="92">
                        <c:v>0.20182169551254725</c:v>
                      </c:pt>
                      <c:pt idx="93">
                        <c:v>0.2078953672013609</c:v>
                      </c:pt>
                      <c:pt idx="94">
                        <c:v>0.19778408421941546</c:v>
                      </c:pt>
                      <c:pt idx="95">
                        <c:v>0.2018318453649684</c:v>
                      </c:pt>
                      <c:pt idx="96">
                        <c:v>0.20524219577847339</c:v>
                      </c:pt>
                      <c:pt idx="97">
                        <c:v>0.20068085210041045</c:v>
                      </c:pt>
                      <c:pt idx="98">
                        <c:v>0.2033989825787933</c:v>
                      </c:pt>
                      <c:pt idx="99">
                        <c:v>0.20989894806929507</c:v>
                      </c:pt>
                      <c:pt idx="100">
                        <c:v>0.20965332164070336</c:v>
                      </c:pt>
                      <c:pt idx="101">
                        <c:v>0.20650077747869547</c:v>
                      </c:pt>
                      <c:pt idx="102">
                        <c:v>0.206496717537727</c:v>
                      </c:pt>
                      <c:pt idx="103">
                        <c:v>0.21359146438010793</c:v>
                      </c:pt>
                      <c:pt idx="104">
                        <c:v>0.21348996585589647</c:v>
                      </c:pt>
                      <c:pt idx="105">
                        <c:v>0.20785679776216054</c:v>
                      </c:pt>
                      <c:pt idx="106">
                        <c:v>0.21719263201913044</c:v>
                      </c:pt>
                      <c:pt idx="107">
                        <c:v>0.21950070845969899</c:v>
                      </c:pt>
                      <c:pt idx="108">
                        <c:v>0.21663033019499897</c:v>
                      </c:pt>
                      <c:pt idx="109">
                        <c:v>0.21358537446865522</c:v>
                      </c:pt>
                      <c:pt idx="110">
                        <c:v>0.21816092794010775</c:v>
                      </c:pt>
                      <c:pt idx="111">
                        <c:v>0.20504731861198738</c:v>
                      </c:pt>
                      <c:pt idx="112">
                        <c:v>0.24510269620679714</c:v>
                      </c:pt>
                      <c:pt idx="113">
                        <c:v>0.22728361529623359</c:v>
                      </c:pt>
                      <c:pt idx="114">
                        <c:v>0.21874758941004999</c:v>
                      </c:pt>
                      <c:pt idx="115">
                        <c:v>0.2202172880406319</c:v>
                      </c:pt>
                      <c:pt idx="116">
                        <c:v>0.22361951857219997</c:v>
                      </c:pt>
                      <c:pt idx="117">
                        <c:v>0.22212343032532306</c:v>
                      </c:pt>
                      <c:pt idx="118">
                        <c:v>0.22821537174849477</c:v>
                      </c:pt>
                      <c:pt idx="119">
                        <c:v>0.22384484529594939</c:v>
                      </c:pt>
                      <c:pt idx="120">
                        <c:v>0.22640666804704659</c:v>
                      </c:pt>
                      <c:pt idx="121">
                        <c:v>0.2338911692223995</c:v>
                      </c:pt>
                      <c:pt idx="122">
                        <c:v>0.23736444872091561</c:v>
                      </c:pt>
                      <c:pt idx="123">
                        <c:v>0.22727752538478091</c:v>
                      </c:pt>
                      <c:pt idx="124">
                        <c:v>0.23143896487745069</c:v>
                      </c:pt>
                      <c:pt idx="125">
                        <c:v>0.23188352841349688</c:v>
                      </c:pt>
                      <c:pt idx="126">
                        <c:v>0.23768112411645534</c:v>
                      </c:pt>
                      <c:pt idx="127">
                        <c:v>0.24212269953594875</c:v>
                      </c:pt>
                      <c:pt idx="128">
                        <c:v>0.2342809235553715</c:v>
                      </c:pt>
                      <c:pt idx="129">
                        <c:v>0.24044188397500701</c:v>
                      </c:pt>
                      <c:pt idx="130">
                        <c:v>0.2420841300967484</c:v>
                      </c:pt>
                      <c:pt idx="131">
                        <c:v>0.24211863959498028</c:v>
                      </c:pt>
                      <c:pt idx="132">
                        <c:v>0.25011469333235897</c:v>
                      </c:pt>
                      <c:pt idx="133">
                        <c:v>0.25488918391126592</c:v>
                      </c:pt>
                      <c:pt idx="134">
                        <c:v>0.26083496745957313</c:v>
                      </c:pt>
                      <c:pt idx="135">
                        <c:v>0.26002297926588147</c:v>
                      </c:pt>
                      <c:pt idx="136">
                        <c:v>0.25768445326804951</c:v>
                      </c:pt>
                      <c:pt idx="137">
                        <c:v>0.25991945077118578</c:v>
                      </c:pt>
                      <c:pt idx="138">
                        <c:v>0.26273907977378008</c:v>
                      </c:pt>
                      <c:pt idx="139">
                        <c:v>0.26459650276684976</c:v>
                      </c:pt>
                      <c:pt idx="140">
                        <c:v>0.26844329683446405</c:v>
                      </c:pt>
                      <c:pt idx="141">
                        <c:v>0.2792670994563739</c:v>
                      </c:pt>
                      <c:pt idx="142">
                        <c:v>0.27507115046547226</c:v>
                      </c:pt>
                      <c:pt idx="143">
                        <c:v>0.28249272255581404</c:v>
                      </c:pt>
                      <c:pt idx="144">
                        <c:v>0.27814858571956363</c:v>
                      </c:pt>
                      <c:pt idx="145">
                        <c:v>0.28263279051922585</c:v>
                      </c:pt>
                      <c:pt idx="146">
                        <c:v>0.28193448067265103</c:v>
                      </c:pt>
                      <c:pt idx="147">
                        <c:v>0.29383010771023388</c:v>
                      </c:pt>
                      <c:pt idx="148">
                        <c:v>0.29552310309408103</c:v>
                      </c:pt>
                      <c:pt idx="149">
                        <c:v>0.29954041468237053</c:v>
                      </c:pt>
                      <c:pt idx="150">
                        <c:v>0.30709596482467144</c:v>
                      </c:pt>
                      <c:pt idx="151">
                        <c:v>0.30041736193155749</c:v>
                      </c:pt>
                      <c:pt idx="152">
                        <c:v>0.30772322570429828</c:v>
                      </c:pt>
                      <c:pt idx="153">
                        <c:v>0.30982018521450699</c:v>
                      </c:pt>
                      <c:pt idx="154">
                        <c:v>0.31471241408149925</c:v>
                      </c:pt>
                      <c:pt idx="155">
                        <c:v>0.31097929836100185</c:v>
                      </c:pt>
                      <c:pt idx="156">
                        <c:v>0.33081008002143647</c:v>
                      </c:pt>
                      <c:pt idx="157">
                        <c:v>0.33535112399465711</c:v>
                      </c:pt>
                      <c:pt idx="158">
                        <c:v>0.32702012512738066</c:v>
                      </c:pt>
                      <c:pt idx="159">
                        <c:v>0.32899122646756718</c:v>
                      </c:pt>
                      <c:pt idx="160">
                        <c:v>0.32858929231168976</c:v>
                      </c:pt>
                      <c:pt idx="161">
                        <c:v>0.33382052624954833</c:v>
                      </c:pt>
                      <c:pt idx="162">
                        <c:v>0.3341392316155723</c:v>
                      </c:pt>
                      <c:pt idx="163">
                        <c:v>0.35209026060761078</c:v>
                      </c:pt>
                      <c:pt idx="164">
                        <c:v>0.34777454335813957</c:v>
                      </c:pt>
                      <c:pt idx="165">
                        <c:v>0.34986744292737981</c:v>
                      </c:pt>
                      <c:pt idx="166">
                        <c:v>0.35316208502328378</c:v>
                      </c:pt>
                      <c:pt idx="167">
                        <c:v>0.35077686970431449</c:v>
                      </c:pt>
                      <c:pt idx="168">
                        <c:v>0.35495657893134236</c:v>
                      </c:pt>
                      <c:pt idx="169">
                        <c:v>0.35699872923847686</c:v>
                      </c:pt>
                      <c:pt idx="170">
                        <c:v>0.35865924509457631</c:v>
                      </c:pt>
                      <c:pt idx="171">
                        <c:v>0.35378325599145788</c:v>
                      </c:pt>
                      <c:pt idx="172">
                        <c:v>0.35326561351797947</c:v>
                      </c:pt>
                      <c:pt idx="173">
                        <c:v>0.35525092465155556</c:v>
                      </c:pt>
                      <c:pt idx="174">
                        <c:v>0.36172450052576238</c:v>
                      </c:pt>
                      <c:pt idx="175">
                        <c:v>0.36171029073237276</c:v>
                      </c:pt>
                      <c:pt idx="176">
                        <c:v>0.36400212740906746</c:v>
                      </c:pt>
                      <c:pt idx="177">
                        <c:v>0.3686182802902046</c:v>
                      </c:pt>
                      <c:pt idx="178">
                        <c:v>0.36693340478829439</c:v>
                      </c:pt>
                      <c:pt idx="179">
                        <c:v>0.37584091527309194</c:v>
                      </c:pt>
                      <c:pt idx="180">
                        <c:v>0.3693653094284009</c:v>
                      </c:pt>
                      <c:pt idx="181">
                        <c:v>0.37216463872615291</c:v>
                      </c:pt>
                      <c:pt idx="182">
                        <c:v>0.3762022500192847</c:v>
                      </c:pt>
                      <c:pt idx="183">
                        <c:v>0.37868693389198121</c:v>
                      </c:pt>
                      <c:pt idx="184">
                        <c:v>0.38249515852039512</c:v>
                      </c:pt>
                      <c:pt idx="185">
                        <c:v>0.38955336589405992</c:v>
                      </c:pt>
                      <c:pt idx="186">
                        <c:v>0.37988664644816067</c:v>
                      </c:pt>
                      <c:pt idx="187">
                        <c:v>0.38236118046843598</c:v>
                      </c:pt>
                      <c:pt idx="188">
                        <c:v>0.3770649874750821</c:v>
                      </c:pt>
                      <c:pt idx="189">
                        <c:v>0.37833168905724113</c:v>
                      </c:pt>
                      <c:pt idx="190">
                        <c:v>0.37740602251643263</c:v>
                      </c:pt>
                      <c:pt idx="191">
                        <c:v>0.38359946246381577</c:v>
                      </c:pt>
                      <c:pt idx="192">
                        <c:v>0.38497172251115469</c:v>
                      </c:pt>
                      <c:pt idx="193">
                        <c:v>0.38200187569272742</c:v>
                      </c:pt>
                      <c:pt idx="194">
                        <c:v>0.37590181438761883</c:v>
                      </c:pt>
                      <c:pt idx="195">
                        <c:v>0.3642741434539542</c:v>
                      </c:pt>
                      <c:pt idx="196">
                        <c:v>0.33869651535266676</c:v>
                      </c:pt>
                      <c:pt idx="197">
                        <c:v>0.31114575594070865</c:v>
                      </c:pt>
                      <c:pt idx="198">
                        <c:v>0.29526123690161543</c:v>
                      </c:pt>
                      <c:pt idx="199">
                        <c:v>0.30516343292368531</c:v>
                      </c:pt>
                      <c:pt idx="200">
                        <c:v>0.30309286302977156</c:v>
                      </c:pt>
                      <c:pt idx="201">
                        <c:v>0.29211681262154449</c:v>
                      </c:pt>
                      <c:pt idx="202">
                        <c:v>0.29517800811176204</c:v>
                      </c:pt>
                      <c:pt idx="203">
                        <c:v>0.30062847886191735</c:v>
                      </c:pt>
                      <c:pt idx="204">
                        <c:v>0.31127161411073084</c:v>
                      </c:pt>
                      <c:pt idx="205">
                        <c:v>0.31425567072254768</c:v>
                      </c:pt>
                      <c:pt idx="206">
                        <c:v>0.32631978531032158</c:v>
                      </c:pt>
                      <c:pt idx="207">
                        <c:v>0.3092233738921436</c:v>
                      </c:pt>
                      <c:pt idx="208">
                        <c:v>0.31656780710408472</c:v>
                      </c:pt>
                      <c:pt idx="209">
                        <c:v>0.32167521284240524</c:v>
                      </c:pt>
                      <c:pt idx="210">
                        <c:v>0.32446845222870457</c:v>
                      </c:pt>
                      <c:pt idx="211">
                        <c:v>0.32521142142593246</c:v>
                      </c:pt>
                      <c:pt idx="212">
                        <c:v>0.32518097186866901</c:v>
                      </c:pt>
                      <c:pt idx="213">
                        <c:v>0.33982720891238244</c:v>
                      </c:pt>
                      <c:pt idx="214">
                        <c:v>0.34514167164009435</c:v>
                      </c:pt>
                      <c:pt idx="215">
                        <c:v>0.33908220974467029</c:v>
                      </c:pt>
                      <c:pt idx="216">
                        <c:v>0.3379251265686597</c:v>
                      </c:pt>
                      <c:pt idx="217">
                        <c:v>0.33986374838109856</c:v>
                      </c:pt>
                      <c:pt idx="218">
                        <c:v>0.34233625243088966</c:v>
                      </c:pt>
                      <c:pt idx="219">
                        <c:v>0.34847488317519865</c:v>
                      </c:pt>
                      <c:pt idx="220">
                        <c:v>0.35642018765047156</c:v>
                      </c:pt>
                      <c:pt idx="221">
                        <c:v>0.36250197922122213</c:v>
                      </c:pt>
                      <c:pt idx="222">
                        <c:v>0.36803567876123083</c:v>
                      </c:pt>
                      <c:pt idx="223">
                        <c:v>0.37260920226219912</c:v>
                      </c:pt>
                      <c:pt idx="224">
                        <c:v>0.37743038216224334</c:v>
                      </c:pt>
                      <c:pt idx="225">
                        <c:v>0.38374765030916452</c:v>
                      </c:pt>
                      <c:pt idx="226">
                        <c:v>0.38786443045118124</c:v>
                      </c:pt>
                      <c:pt idx="227">
                        <c:v>0.38628105347348252</c:v>
                      </c:pt>
                      <c:pt idx="228">
                        <c:v>0.39175994381041701</c:v>
                      </c:pt>
                      <c:pt idx="229">
                        <c:v>0.39138236930035036</c:v>
                      </c:pt>
                      <c:pt idx="230">
                        <c:v>0.39187159218704959</c:v>
                      </c:pt>
                      <c:pt idx="231">
                        <c:v>0.39968291861036342</c:v>
                      </c:pt>
                      <c:pt idx="232">
                        <c:v>0.40383826819158047</c:v>
                      </c:pt>
                      <c:pt idx="233">
                        <c:v>0.40618491407134938</c:v>
                      </c:pt>
                      <c:pt idx="234">
                        <c:v>0.40796925812698681</c:v>
                      </c:pt>
                      <c:pt idx="235">
                        <c:v>0.41317207247806614</c:v>
                      </c:pt>
                      <c:pt idx="236">
                        <c:v>0.42269060407861669</c:v>
                      </c:pt>
                      <c:pt idx="237">
                        <c:v>0.42553865266799018</c:v>
                      </c:pt>
                      <c:pt idx="238">
                        <c:v>0.42142593246694193</c:v>
                      </c:pt>
                      <c:pt idx="239">
                        <c:v>0.42009021188831913</c:v>
                      </c:pt>
                      <c:pt idx="240">
                        <c:v>0.41252857183456554</c:v>
                      </c:pt>
                      <c:pt idx="241">
                        <c:v>0.4157704346978795</c:v>
                      </c:pt>
                      <c:pt idx="242">
                        <c:v>0.42560767166445401</c:v>
                      </c:pt>
                      <c:pt idx="243">
                        <c:v>0.43127737922690607</c:v>
                      </c:pt>
                      <c:pt idx="244">
                        <c:v>0.43162653415019347</c:v>
                      </c:pt>
                      <c:pt idx="245">
                        <c:v>0.43449082250344079</c:v>
                      </c:pt>
                      <c:pt idx="246">
                        <c:v>0.43725361233247667</c:v>
                      </c:pt>
                      <c:pt idx="247">
                        <c:v>0.44281167151829615</c:v>
                      </c:pt>
                      <c:pt idx="248">
                        <c:v>0.45290062482491505</c:v>
                      </c:pt>
                      <c:pt idx="249">
                        <c:v>0.44665034570397344</c:v>
                      </c:pt>
                      <c:pt idx="250">
                        <c:v>0.44330292437547958</c:v>
                      </c:pt>
                      <c:pt idx="251">
                        <c:v>0.44805914522002849</c:v>
                      </c:pt>
                      <c:pt idx="252">
                        <c:v>0.45077727569841136</c:v>
                      </c:pt>
                      <c:pt idx="253">
                        <c:v>0.45496307483689186</c:v>
                      </c:pt>
                      <c:pt idx="254">
                        <c:v>0.45354209549793145</c:v>
                      </c:pt>
                      <c:pt idx="255">
                        <c:v>0.45379584180846011</c:v>
                      </c:pt>
                      <c:pt idx="256">
                        <c:v>0.45537109890422195</c:v>
                      </c:pt>
                      <c:pt idx="257">
                        <c:v>0.45623180638953509</c:v>
                      </c:pt>
                      <c:pt idx="258">
                        <c:v>0.46157265873354203</c:v>
                      </c:pt>
                      <c:pt idx="259">
                        <c:v>0.45585829182043691</c:v>
                      </c:pt>
                      <c:pt idx="260">
                        <c:v>0.46529968454258674</c:v>
                      </c:pt>
                      <c:pt idx="261">
                        <c:v>0.47331806795529191</c:v>
                      </c:pt>
                      <c:pt idx="262">
                        <c:v>0.48173635555339023</c:v>
                      </c:pt>
                      <c:pt idx="263">
                        <c:v>0.48245699507529161</c:v>
                      </c:pt>
                      <c:pt idx="264">
                        <c:v>0.48414390054768602</c:v>
                      </c:pt>
                      <c:pt idx="265">
                        <c:v>0.4850106979444519</c:v>
                      </c:pt>
                      <c:pt idx="266">
                        <c:v>0.49104377022358092</c:v>
                      </c:pt>
                      <c:pt idx="267">
                        <c:v>0.48751162158102224</c:v>
                      </c:pt>
                      <c:pt idx="268">
                        <c:v>0.48963497070752593</c:v>
                      </c:pt>
                      <c:pt idx="269">
                        <c:v>0.49194101717761024</c:v>
                      </c:pt>
                      <c:pt idx="270">
                        <c:v>0.48427381865867669</c:v>
                      </c:pt>
                      <c:pt idx="271">
                        <c:v>0.47988096253080481</c:v>
                      </c:pt>
                      <c:pt idx="272">
                        <c:v>0.47800526980337704</c:v>
                      </c:pt>
                      <c:pt idx="273">
                        <c:v>0.49036170014087993</c:v>
                      </c:pt>
                      <c:pt idx="274">
                        <c:v>0.49079205388353653</c:v>
                      </c:pt>
                      <c:pt idx="275">
                        <c:v>0.49741381760309206</c:v>
                      </c:pt>
                      <c:pt idx="276">
                        <c:v>0.49750313630439813</c:v>
                      </c:pt>
                      <c:pt idx="277">
                        <c:v>0.50512364550219435</c:v>
                      </c:pt>
                      <c:pt idx="278">
                        <c:v>0.50434616680673461</c:v>
                      </c:pt>
                      <c:pt idx="279">
                        <c:v>0.50024765639907598</c:v>
                      </c:pt>
                      <c:pt idx="280">
                        <c:v>0.49723315022999565</c:v>
                      </c:pt>
                      <c:pt idx="281">
                        <c:v>0.50020502701890712</c:v>
                      </c:pt>
                      <c:pt idx="282">
                        <c:v>0.50227762688330513</c:v>
                      </c:pt>
                      <c:pt idx="283">
                        <c:v>0.49807964792191922</c:v>
                      </c:pt>
                      <c:pt idx="284">
                        <c:v>0.50324795277476664</c:v>
                      </c:pt>
                      <c:pt idx="285">
                        <c:v>0.50115505320552645</c:v>
                      </c:pt>
                      <c:pt idx="286">
                        <c:v>0.50544641080918684</c:v>
                      </c:pt>
                      <c:pt idx="287">
                        <c:v>0.50785598577396684</c:v>
                      </c:pt>
                      <c:pt idx="288">
                        <c:v>0.517628263685046</c:v>
                      </c:pt>
                      <c:pt idx="289">
                        <c:v>0.51647524045000381</c:v>
                      </c:pt>
                      <c:pt idx="290">
                        <c:v>0.51596368788797808</c:v>
                      </c:pt>
                      <c:pt idx="291">
                        <c:v>0.52104673398048795</c:v>
                      </c:pt>
                      <c:pt idx="292">
                        <c:v>0.52275190918724046</c:v>
                      </c:pt>
                      <c:pt idx="293">
                        <c:v>0.52080922743383307</c:v>
                      </c:pt>
                      <c:pt idx="294">
                        <c:v>0.53387005752936356</c:v>
                      </c:pt>
                      <c:pt idx="295">
                        <c:v>0.54027461440710656</c:v>
                      </c:pt>
                      <c:pt idx="296">
                        <c:v>0.54004319777190435</c:v>
                      </c:pt>
                      <c:pt idx="297">
                        <c:v>0.53897746326768414</c:v>
                      </c:pt>
                      <c:pt idx="298">
                        <c:v>0.54203053887596475</c:v>
                      </c:pt>
                      <c:pt idx="299">
                        <c:v>0.53690486340328614</c:v>
                      </c:pt>
                      <c:pt idx="300">
                        <c:v>0.54189453085352135</c:v>
                      </c:pt>
                      <c:pt idx="301">
                        <c:v>0.54198790949579589</c:v>
                      </c:pt>
                      <c:pt idx="302">
                        <c:v>0.54298868494452091</c:v>
                      </c:pt>
                      <c:pt idx="303">
                        <c:v>0.56210085705353841</c:v>
                      </c:pt>
                      <c:pt idx="304">
                        <c:v>0.5620561977028854</c:v>
                      </c:pt>
                      <c:pt idx="305">
                        <c:v>0.57063282299875362</c:v>
                      </c:pt>
                      <c:pt idx="306">
                        <c:v>0.57534438449264946</c:v>
                      </c:pt>
                      <c:pt idx="307">
                        <c:v>0.57058816364810061</c:v>
                      </c:pt>
                      <c:pt idx="308">
                        <c:v>0.5752672456142488</c:v>
                      </c:pt>
                      <c:pt idx="309">
                        <c:v>0.57441465801087255</c:v>
                      </c:pt>
                      <c:pt idx="310">
                        <c:v>0.57606299404406658</c:v>
                      </c:pt>
                      <c:pt idx="311">
                        <c:v>0.58913803393298658</c:v>
                      </c:pt>
                      <c:pt idx="312">
                        <c:v>0.58440414276376418</c:v>
                      </c:pt>
                      <c:pt idx="313">
                        <c:v>0.58858994190224478</c:v>
                      </c:pt>
                      <c:pt idx="314">
                        <c:v>0.58851077305335986</c:v>
                      </c:pt>
                      <c:pt idx="315">
                        <c:v>0.58730700055621188</c:v>
                      </c:pt>
                      <c:pt idx="316">
                        <c:v>0.59635254903393708</c:v>
                      </c:pt>
                      <c:pt idx="317">
                        <c:v>0.60187000881007191</c:v>
                      </c:pt>
                      <c:pt idx="318">
                        <c:v>0.58221989452273359</c:v>
                      </c:pt>
                      <c:pt idx="319">
                        <c:v>0.58488727573901078</c:v>
                      </c:pt>
                      <c:pt idx="320">
                        <c:v>0.58681168775806003</c:v>
                      </c:pt>
                      <c:pt idx="321">
                        <c:v>0.6010255410886326</c:v>
                      </c:pt>
                      <c:pt idx="322">
                        <c:v>0.60008972469540289</c:v>
                      </c:pt>
                      <c:pt idx="323">
                        <c:v>0.60979095363953406</c:v>
                      </c:pt>
                      <c:pt idx="324">
                        <c:v>0.60898302538681093</c:v>
                      </c:pt>
                      <c:pt idx="325">
                        <c:v>0.61545457129053338</c:v>
                      </c:pt>
                      <c:pt idx="326">
                        <c:v>0.62198092639733016</c:v>
                      </c:pt>
                      <c:pt idx="327">
                        <c:v>0.61393412339784581</c:v>
                      </c:pt>
                      <c:pt idx="328">
                        <c:v>0.61611025175693945</c:v>
                      </c:pt>
                      <c:pt idx="329">
                        <c:v>0.62303854101961353</c:v>
                      </c:pt>
                      <c:pt idx="330">
                        <c:v>0.62426261322160381</c:v>
                      </c:pt>
                      <c:pt idx="331">
                        <c:v>0.62046859838657942</c:v>
                      </c:pt>
                      <c:pt idx="332">
                        <c:v>0.62087053254245683</c:v>
                      </c:pt>
                      <c:pt idx="333">
                        <c:v>0.56602478999955341</c:v>
                      </c:pt>
                      <c:pt idx="334">
                        <c:v>0.46319054520947267</c:v>
                      </c:pt>
                      <c:pt idx="335">
                        <c:v>0.60054037814290184</c:v>
                      </c:pt>
                      <c:pt idx="336">
                        <c:v>0.65706084633529427</c:v>
                      </c:pt>
                      <c:pt idx="337">
                        <c:v>0.66938885708601792</c:v>
                      </c:pt>
                      <c:pt idx="338">
                        <c:v>0.67308949327876777</c:v>
                      </c:pt>
                      <c:pt idx="339">
                        <c:v>0.69137140745973558</c:v>
                      </c:pt>
                      <c:pt idx="340">
                        <c:v>0.68743529469081521</c:v>
                      </c:pt>
                      <c:pt idx="341">
                        <c:v>0.68198685391114411</c:v>
                      </c:pt>
                      <c:pt idx="342">
                        <c:v>0.69796272162202766</c:v>
                      </c:pt>
                      <c:pt idx="343">
                        <c:v>0.72974190955263507</c:v>
                      </c:pt>
                      <c:pt idx="344">
                        <c:v>0.70376031732498612</c:v>
                      </c:pt>
                      <c:pt idx="345">
                        <c:v>0.80688687786479585</c:v>
                      </c:pt>
                      <c:pt idx="346">
                        <c:v>0.81214856135991786</c:v>
                      </c:pt>
                      <c:pt idx="347">
                        <c:v>0.80076042694339222</c:v>
                      </c:pt>
                      <c:pt idx="348">
                        <c:v>0.80799321177870076</c:v>
                      </c:pt>
                      <c:pt idx="349">
                        <c:v>0.78454299274488548</c:v>
                      </c:pt>
                      <c:pt idx="350">
                        <c:v>0.79241318831224195</c:v>
                      </c:pt>
                      <c:pt idx="351">
                        <c:v>0.80088628511341442</c:v>
                      </c:pt>
                      <c:pt idx="352">
                        <c:v>0.81856732803105048</c:v>
                      </c:pt>
                      <c:pt idx="353">
                        <c:v>0.83018078917132543</c:v>
                      </c:pt>
                      <c:pt idx="354">
                        <c:v>0.82245675147883346</c:v>
                      </c:pt>
                      <c:pt idx="355">
                        <c:v>0.84880576836412802</c:v>
                      </c:pt>
                      <c:pt idx="356">
                        <c:v>0.85595126446861458</c:v>
                      </c:pt>
                      <c:pt idx="357">
                        <c:v>0.87768818841374041</c:v>
                      </c:pt>
                      <c:pt idx="358">
                        <c:v>0.89079773780089233</c:v>
                      </c:pt>
                      <c:pt idx="359">
                        <c:v>0.88856680023872447</c:v>
                      </c:pt>
                      <c:pt idx="360">
                        <c:v>0.9001619916446415</c:v>
                      </c:pt>
                      <c:pt idx="361">
                        <c:v>0.88739550726932426</c:v>
                      </c:pt>
                      <c:pt idx="362">
                        <c:v>0.89131132033340232</c:v>
                      </c:pt>
                      <c:pt idx="363">
                        <c:v>0.88775887198600134</c:v>
                      </c:pt>
                      <c:pt idx="364">
                        <c:v>0.8990455078783155</c:v>
                      </c:pt>
                      <c:pt idx="365">
                        <c:v>0.88148626318973322</c:v>
                      </c:pt>
                      <c:pt idx="366">
                        <c:v>0.86679536679536684</c:v>
                      </c:pt>
                      <c:pt idx="367">
                        <c:v>0.91317004250758194</c:v>
                      </c:pt>
                      <c:pt idx="368">
                        <c:v>0.90139824366953702</c:v>
                      </c:pt>
                      <c:pt idx="369">
                        <c:v>0.88647187069900002</c:v>
                      </c:pt>
                      <c:pt idx="370">
                        <c:v>0.89674758129016807</c:v>
                      </c:pt>
                      <c:pt idx="371">
                        <c:v>0.90164387009812874</c:v>
                      </c:pt>
                      <c:pt idx="372">
                        <c:v>0.90648331973253105</c:v>
                      </c:pt>
                      <c:pt idx="373">
                        <c:v>0.90767491240677356</c:v>
                      </c:pt>
                      <c:pt idx="374">
                        <c:v>0.91972075726018943</c:v>
                      </c:pt>
                      <c:pt idx="375">
                        <c:v>0.92736359613331221</c:v>
                      </c:pt>
                      <c:pt idx="376">
                        <c:v>0.92038252763804818</c:v>
                      </c:pt>
                      <c:pt idx="377">
                        <c:v>0.91642408519380125</c:v>
                      </c:pt>
                      <c:pt idx="378">
                        <c:v>0.91782273485743515</c:v>
                      </c:pt>
                      <c:pt idx="379">
                        <c:v>0.9070395316452099</c:v>
                      </c:pt>
                      <c:pt idx="380">
                        <c:v>0.91569126584899452</c:v>
                      </c:pt>
                      <c:pt idx="381">
                        <c:v>0.92130007429691974</c:v>
                      </c:pt>
                      <c:pt idx="382">
                        <c:v>0.92070529294504055</c:v>
                      </c:pt>
                      <c:pt idx="383">
                        <c:v>0.93023803433898067</c:v>
                      </c:pt>
                      <c:pt idx="384">
                        <c:v>0.92944025593867863</c:v>
                      </c:pt>
                      <c:pt idx="385">
                        <c:v>0.94128513371415579</c:v>
                      </c:pt>
                      <c:pt idx="386">
                        <c:v>0.93679280903255668</c:v>
                      </c:pt>
                      <c:pt idx="387">
                        <c:v>0.94729384634747416</c:v>
                      </c:pt>
                      <c:pt idx="388">
                        <c:v>0.95540966834342234</c:v>
                      </c:pt>
                      <c:pt idx="389">
                        <c:v>0.9626607229130888</c:v>
                      </c:pt>
                      <c:pt idx="390">
                        <c:v>0.97374233178649583</c:v>
                      </c:pt>
                      <c:pt idx="391">
                        <c:v>0.96190760386343988</c:v>
                      </c:pt>
                      <c:pt idx="392">
                        <c:v>0.96341181199225367</c:v>
                      </c:pt>
                      <c:pt idx="393">
                        <c:v>0.98047777385316814</c:v>
                      </c:pt>
                      <c:pt idx="394">
                        <c:v>0.97722982107840151</c:v>
                      </c:pt>
                      <c:pt idx="395">
                        <c:v>0.96609746294288878</c:v>
                      </c:pt>
                      <c:pt idx="396">
                        <c:v>0.97849855263104479</c:v>
                      </c:pt>
                      <c:pt idx="397">
                        <c:v>0.98783844682898314</c:v>
                      </c:pt>
                      <c:pt idx="398">
                        <c:v>0.99474440641633066</c:v>
                      </c:pt>
                      <c:pt idx="399">
                        <c:v>0.99524377915545104</c:v>
                      </c:pt>
                      <c:pt idx="400">
                        <c:v>0.99311434011749466</c:v>
                      </c:pt>
                      <c:pt idx="401">
                        <c:v>0.99994519079692579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E542-4FC2-A1E6-C379A5B1ABBB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FinalData!$H$1</c15:sqref>
                        </c15:formulaRef>
                      </c:ext>
                    </c:extLst>
                    <c:strCache>
                      <c:ptCount val="1"/>
                      <c:pt idx="0">
                        <c:v>TgtAmount</c:v>
                      </c:pt>
                    </c:strCache>
                  </c:strRef>
                </c:tx>
                <c:spPr>
                  <a:ln w="317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FinalData!$J$2:$J$403</c15:sqref>
                        </c15:formulaRef>
                      </c:ext>
                    </c:extLst>
                    <c:numCache>
                      <c:formatCode>m/d/yyyy</c:formatCode>
                      <c:ptCount val="402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  <c:pt idx="396">
                        <c:v>45658</c:v>
                      </c:pt>
                      <c:pt idx="397">
                        <c:v>45689</c:v>
                      </c:pt>
                      <c:pt idx="398">
                        <c:v>45717</c:v>
                      </c:pt>
                      <c:pt idx="399">
                        <c:v>45748</c:v>
                      </c:pt>
                      <c:pt idx="400">
                        <c:v>45778</c:v>
                      </c:pt>
                      <c:pt idx="401">
                        <c:v>45809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FinalData!$H$2:$H$403</c15:sqref>
                        </c15:formulaRef>
                      </c:ext>
                    </c:extLst>
                    <c:numCache>
                      <c:formatCode>General</c:formatCode>
                      <c:ptCount val="402"/>
                      <c:pt idx="0">
                        <c:v>9.3845535485914035E-3</c:v>
                      </c:pt>
                      <c:pt idx="1">
                        <c:v>8.0183834127051795E-3</c:v>
                      </c:pt>
                      <c:pt idx="2">
                        <c:v>1.1798188454339874E-2</c:v>
                      </c:pt>
                      <c:pt idx="3">
                        <c:v>1.4668566719039905E-2</c:v>
                      </c:pt>
                      <c:pt idx="4">
                        <c:v>1.4232123064930637E-2</c:v>
                      </c:pt>
                      <c:pt idx="5">
                        <c:v>1.7169490355610228E-2</c:v>
                      </c:pt>
                      <c:pt idx="6">
                        <c:v>2.0723968673495487E-2</c:v>
                      </c:pt>
                      <c:pt idx="7">
                        <c:v>1.953237599925297E-2</c:v>
                      </c:pt>
                      <c:pt idx="8">
                        <c:v>1.7061901919946085E-2</c:v>
                      </c:pt>
                      <c:pt idx="9">
                        <c:v>2.5577628101287407E-2</c:v>
                      </c:pt>
                      <c:pt idx="10">
                        <c:v>2.7236113986902632E-2</c:v>
                      </c:pt>
                      <c:pt idx="11">
                        <c:v>2.6862599417804466E-2</c:v>
                      </c:pt>
                      <c:pt idx="12">
                        <c:v>3.2777933408848235E-2</c:v>
                      </c:pt>
                      <c:pt idx="13">
                        <c:v>3.1068698261127282E-2</c:v>
                      </c:pt>
                      <c:pt idx="14">
                        <c:v>3.3321965498621653E-2</c:v>
                      </c:pt>
                      <c:pt idx="15">
                        <c:v>3.5835068958097349E-2</c:v>
                      </c:pt>
                      <c:pt idx="16">
                        <c:v>4.0363933108412603E-2</c:v>
                      </c:pt>
                      <c:pt idx="17">
                        <c:v>4.2909516095635966E-2</c:v>
                      </c:pt>
                      <c:pt idx="18">
                        <c:v>4.1104872335156244E-2</c:v>
                      </c:pt>
                      <c:pt idx="19">
                        <c:v>4.659797246548035E-2</c:v>
                      </c:pt>
                      <c:pt idx="20">
                        <c:v>5.3205526391646267E-2</c:v>
                      </c:pt>
                      <c:pt idx="21">
                        <c:v>5.3067488398718686E-2</c:v>
                      </c:pt>
                      <c:pt idx="22">
                        <c:v>5.1342013487123896E-2</c:v>
                      </c:pt>
                      <c:pt idx="23">
                        <c:v>5.5249706669265028E-2</c:v>
                      </c:pt>
                      <c:pt idx="24">
                        <c:v>5.5609011444973593E-2</c:v>
                      </c:pt>
                      <c:pt idx="25">
                        <c:v>6.1329468269531361E-2</c:v>
                      </c:pt>
                      <c:pt idx="26">
                        <c:v>6.4751998505941724E-2</c:v>
                      </c:pt>
                      <c:pt idx="27">
                        <c:v>6.737269040108157E-2</c:v>
                      </c:pt>
                      <c:pt idx="28">
                        <c:v>6.8290237059953143E-2</c:v>
                      </c:pt>
                      <c:pt idx="29">
                        <c:v>6.9116435047034422E-2</c:v>
                      </c:pt>
                      <c:pt idx="30">
                        <c:v>7.1081446475768237E-2</c:v>
                      </c:pt>
                      <c:pt idx="31">
                        <c:v>6.5852242508393929E-2</c:v>
                      </c:pt>
                      <c:pt idx="32">
                        <c:v>6.9538668907754078E-2</c:v>
                      </c:pt>
                      <c:pt idx="33">
                        <c:v>6.9491979586616806E-2</c:v>
                      </c:pt>
                      <c:pt idx="34">
                        <c:v>7.490591086805598E-2</c:v>
                      </c:pt>
                      <c:pt idx="35">
                        <c:v>7.9700701151805248E-2</c:v>
                      </c:pt>
                      <c:pt idx="36">
                        <c:v>7.6933851381800908E-2</c:v>
                      </c:pt>
                      <c:pt idx="37">
                        <c:v>8.0522839197918056E-2</c:v>
                      </c:pt>
                      <c:pt idx="38">
                        <c:v>8.1105440726891825E-2</c:v>
                      </c:pt>
                      <c:pt idx="39">
                        <c:v>7.9759570295847904E-2</c:v>
                      </c:pt>
                      <c:pt idx="40">
                        <c:v>8.567896422786013E-2</c:v>
                      </c:pt>
                      <c:pt idx="41">
                        <c:v>8.6722369056753915E-2</c:v>
                      </c:pt>
                      <c:pt idx="42">
                        <c:v>8.6306225107486936E-2</c:v>
                      </c:pt>
                      <c:pt idx="43">
                        <c:v>9.227433833112067E-2</c:v>
                      </c:pt>
                      <c:pt idx="44">
                        <c:v>9.3616148821196135E-2</c:v>
                      </c:pt>
                      <c:pt idx="45">
                        <c:v>9.6744333337393268E-2</c:v>
                      </c:pt>
                      <c:pt idx="46">
                        <c:v>0.10032926121254197</c:v>
                      </c:pt>
                      <c:pt idx="47">
                        <c:v>9.7113787965522988E-2</c:v>
                      </c:pt>
                      <c:pt idx="48">
                        <c:v>9.9454343933839201E-2</c:v>
                      </c:pt>
                      <c:pt idx="49">
                        <c:v>9.9507123166429165E-2</c:v>
                      </c:pt>
                      <c:pt idx="50">
                        <c:v>0.10389997929430106</c:v>
                      </c:pt>
                      <c:pt idx="51">
                        <c:v>0.10819742680941419</c:v>
                      </c:pt>
                      <c:pt idx="52">
                        <c:v>0.10706064333824586</c:v>
                      </c:pt>
                      <c:pt idx="53">
                        <c:v>0.10799036982002282</c:v>
                      </c:pt>
                      <c:pt idx="54">
                        <c:v>0.1123121769809467</c:v>
                      </c:pt>
                      <c:pt idx="55">
                        <c:v>0.11524345436017361</c:v>
                      </c:pt>
                      <c:pt idx="56">
                        <c:v>0.11820924123763241</c:v>
                      </c:pt>
                      <c:pt idx="57">
                        <c:v>0.11183513391715284</c:v>
                      </c:pt>
                      <c:pt idx="58">
                        <c:v>0.11127689203398983</c:v>
                      </c:pt>
                      <c:pt idx="59">
                        <c:v>0.11609604196354985</c:v>
                      </c:pt>
                      <c:pt idx="60">
                        <c:v>0.12104916994506899</c:v>
                      </c:pt>
                      <c:pt idx="61">
                        <c:v>0.1213353957833453</c:v>
                      </c:pt>
                      <c:pt idx="62">
                        <c:v>0.12356836331599738</c:v>
                      </c:pt>
                      <c:pt idx="63">
                        <c:v>0.12369625145650383</c:v>
                      </c:pt>
                      <c:pt idx="64">
                        <c:v>0.12313394963237234</c:v>
                      </c:pt>
                      <c:pt idx="65">
                        <c:v>0.12528368837517104</c:v>
                      </c:pt>
                      <c:pt idx="66">
                        <c:v>0.12663970865863611</c:v>
                      </c:pt>
                      <c:pt idx="67">
                        <c:v>0.12603477745433581</c:v>
                      </c:pt>
                      <c:pt idx="68">
                        <c:v>0.12827586486892481</c:v>
                      </c:pt>
                      <c:pt idx="69">
                        <c:v>0.13512092534174552</c:v>
                      </c:pt>
                      <c:pt idx="70">
                        <c:v>0.13609937111514397</c:v>
                      </c:pt>
                      <c:pt idx="71">
                        <c:v>0.14027502040120338</c:v>
                      </c:pt>
                      <c:pt idx="72">
                        <c:v>0.13710014656386896</c:v>
                      </c:pt>
                      <c:pt idx="73">
                        <c:v>0.13320057326366475</c:v>
                      </c:pt>
                      <c:pt idx="74">
                        <c:v>0.13802175316370899</c:v>
                      </c:pt>
                      <c:pt idx="75">
                        <c:v>0.14549610448664077</c:v>
                      </c:pt>
                      <c:pt idx="76">
                        <c:v>0.14833806316456158</c:v>
                      </c:pt>
                      <c:pt idx="77">
                        <c:v>0.1528080581708342</c:v>
                      </c:pt>
                      <c:pt idx="78">
                        <c:v>0.15389206240941256</c:v>
                      </c:pt>
                      <c:pt idx="79">
                        <c:v>0.15965514861413915</c:v>
                      </c:pt>
                      <c:pt idx="80">
                        <c:v>0.16255800640658685</c:v>
                      </c:pt>
                      <c:pt idx="81">
                        <c:v>0.16588309805975421</c:v>
                      </c:pt>
                      <c:pt idx="82">
                        <c:v>0.16941524670231295</c:v>
                      </c:pt>
                      <c:pt idx="83">
                        <c:v>0.17123613022666651</c:v>
                      </c:pt>
                      <c:pt idx="84">
                        <c:v>0.17519457267091337</c:v>
                      </c:pt>
                      <c:pt idx="85">
                        <c:v>0.18022483953083321</c:v>
                      </c:pt>
                      <c:pt idx="86">
                        <c:v>0.18227510971990468</c:v>
                      </c:pt>
                      <c:pt idx="87">
                        <c:v>0.18093938914128188</c:v>
                      </c:pt>
                      <c:pt idx="88">
                        <c:v>0.18737642554677256</c:v>
                      </c:pt>
                      <c:pt idx="89">
                        <c:v>0.19785919312733194</c:v>
                      </c:pt>
                      <c:pt idx="90">
                        <c:v>0.1937018135756306</c:v>
                      </c:pt>
                      <c:pt idx="91">
                        <c:v>0.20182169551254725</c:v>
                      </c:pt>
                      <c:pt idx="92">
                        <c:v>0.2078953672013609</c:v>
                      </c:pt>
                      <c:pt idx="93">
                        <c:v>0.19778408421941546</c:v>
                      </c:pt>
                      <c:pt idx="94">
                        <c:v>0.2018318453649684</c:v>
                      </c:pt>
                      <c:pt idx="95">
                        <c:v>0.20524219577847339</c:v>
                      </c:pt>
                      <c:pt idx="96">
                        <c:v>0.20068085210041045</c:v>
                      </c:pt>
                      <c:pt idx="97">
                        <c:v>0.2033989825787933</c:v>
                      </c:pt>
                      <c:pt idx="98">
                        <c:v>0.20989894806929507</c:v>
                      </c:pt>
                      <c:pt idx="99">
                        <c:v>0.20965332164070336</c:v>
                      </c:pt>
                      <c:pt idx="100">
                        <c:v>0.20650077747869547</c:v>
                      </c:pt>
                      <c:pt idx="101">
                        <c:v>0.206496717537727</c:v>
                      </c:pt>
                      <c:pt idx="102">
                        <c:v>0.21359146438010793</c:v>
                      </c:pt>
                      <c:pt idx="103">
                        <c:v>0.21348996585589647</c:v>
                      </c:pt>
                      <c:pt idx="104">
                        <c:v>0.20785679776216054</c:v>
                      </c:pt>
                      <c:pt idx="105">
                        <c:v>0.21719263201913044</c:v>
                      </c:pt>
                      <c:pt idx="106">
                        <c:v>0.21950070845969899</c:v>
                      </c:pt>
                      <c:pt idx="107">
                        <c:v>0.21663033019499897</c:v>
                      </c:pt>
                      <c:pt idx="108">
                        <c:v>0.21358537446865522</c:v>
                      </c:pt>
                      <c:pt idx="109">
                        <c:v>0.21816092794010775</c:v>
                      </c:pt>
                      <c:pt idx="110">
                        <c:v>0.20504731861198738</c:v>
                      </c:pt>
                      <c:pt idx="111">
                        <c:v>0.24510269620679714</c:v>
                      </c:pt>
                      <c:pt idx="112">
                        <c:v>0.22728361529623359</c:v>
                      </c:pt>
                      <c:pt idx="113">
                        <c:v>0.21874758941004999</c:v>
                      </c:pt>
                      <c:pt idx="114">
                        <c:v>0.2202172880406319</c:v>
                      </c:pt>
                      <c:pt idx="115">
                        <c:v>0.22361951857219997</c:v>
                      </c:pt>
                      <c:pt idx="116">
                        <c:v>0.22212343032532306</c:v>
                      </c:pt>
                      <c:pt idx="117">
                        <c:v>0.22821537174849477</c:v>
                      </c:pt>
                      <c:pt idx="118">
                        <c:v>0.22384484529594939</c:v>
                      </c:pt>
                      <c:pt idx="119">
                        <c:v>0.22640666804704659</c:v>
                      </c:pt>
                      <c:pt idx="120">
                        <c:v>0.2338911692223995</c:v>
                      </c:pt>
                      <c:pt idx="121">
                        <c:v>0.23736444872091561</c:v>
                      </c:pt>
                      <c:pt idx="122">
                        <c:v>0.22727752538478091</c:v>
                      </c:pt>
                      <c:pt idx="123">
                        <c:v>0.23143896487745069</c:v>
                      </c:pt>
                      <c:pt idx="124">
                        <c:v>0.23188352841349688</c:v>
                      </c:pt>
                      <c:pt idx="125">
                        <c:v>0.23768112411645534</c:v>
                      </c:pt>
                      <c:pt idx="126">
                        <c:v>0.24212269953594875</c:v>
                      </c:pt>
                      <c:pt idx="127">
                        <c:v>0.2342809235553715</c:v>
                      </c:pt>
                      <c:pt idx="128">
                        <c:v>0.24044188397500701</c:v>
                      </c:pt>
                      <c:pt idx="129">
                        <c:v>0.2420841300967484</c:v>
                      </c:pt>
                      <c:pt idx="130">
                        <c:v>0.24211863959498028</c:v>
                      </c:pt>
                      <c:pt idx="131">
                        <c:v>0.25011469333235897</c:v>
                      </c:pt>
                      <c:pt idx="132">
                        <c:v>0.25488918391126592</c:v>
                      </c:pt>
                      <c:pt idx="133">
                        <c:v>0.26083496745957313</c:v>
                      </c:pt>
                      <c:pt idx="134">
                        <c:v>0.26002297926588147</c:v>
                      </c:pt>
                      <c:pt idx="135">
                        <c:v>0.25768445326804951</c:v>
                      </c:pt>
                      <c:pt idx="136">
                        <c:v>0.25991945077118578</c:v>
                      </c:pt>
                      <c:pt idx="137">
                        <c:v>0.26273907977378008</c:v>
                      </c:pt>
                      <c:pt idx="138">
                        <c:v>0.26459650276684976</c:v>
                      </c:pt>
                      <c:pt idx="139">
                        <c:v>0.26844329683446405</c:v>
                      </c:pt>
                      <c:pt idx="140">
                        <c:v>0.2792670994563739</c:v>
                      </c:pt>
                      <c:pt idx="141">
                        <c:v>0.27507115046547226</c:v>
                      </c:pt>
                      <c:pt idx="142">
                        <c:v>0.28249272255581404</c:v>
                      </c:pt>
                      <c:pt idx="143">
                        <c:v>0.27814858571956363</c:v>
                      </c:pt>
                      <c:pt idx="144">
                        <c:v>0.28263279051922585</c:v>
                      </c:pt>
                      <c:pt idx="145">
                        <c:v>0.28193448067265103</c:v>
                      </c:pt>
                      <c:pt idx="146">
                        <c:v>0.29383010771023388</c:v>
                      </c:pt>
                      <c:pt idx="147">
                        <c:v>0.29552310309408103</c:v>
                      </c:pt>
                      <c:pt idx="148">
                        <c:v>0.29954041468237053</c:v>
                      </c:pt>
                      <c:pt idx="149">
                        <c:v>0.30709596482467144</c:v>
                      </c:pt>
                      <c:pt idx="150">
                        <c:v>0.30041736193155749</c:v>
                      </c:pt>
                      <c:pt idx="151">
                        <c:v>0.30772322570429828</c:v>
                      </c:pt>
                      <c:pt idx="152">
                        <c:v>0.30982018521450699</c:v>
                      </c:pt>
                      <c:pt idx="153">
                        <c:v>0.31471241408149925</c:v>
                      </c:pt>
                      <c:pt idx="154">
                        <c:v>0.31097929836100185</c:v>
                      </c:pt>
                      <c:pt idx="155">
                        <c:v>0.33081008002143647</c:v>
                      </c:pt>
                      <c:pt idx="156">
                        <c:v>0.33535112399465711</c:v>
                      </c:pt>
                      <c:pt idx="157">
                        <c:v>0.32702012512738066</c:v>
                      </c:pt>
                      <c:pt idx="158">
                        <c:v>0.32899122646756718</c:v>
                      </c:pt>
                      <c:pt idx="159">
                        <c:v>0.32858929231168976</c:v>
                      </c:pt>
                      <c:pt idx="160">
                        <c:v>0.33382052624954833</c:v>
                      </c:pt>
                      <c:pt idx="161">
                        <c:v>0.3341392316155723</c:v>
                      </c:pt>
                      <c:pt idx="162">
                        <c:v>0.35209026060761078</c:v>
                      </c:pt>
                      <c:pt idx="163">
                        <c:v>0.34777454335813957</c:v>
                      </c:pt>
                      <c:pt idx="164">
                        <c:v>0.34986744292737981</c:v>
                      </c:pt>
                      <c:pt idx="165">
                        <c:v>0.35316208502328378</c:v>
                      </c:pt>
                      <c:pt idx="166">
                        <c:v>0.35077686970431449</c:v>
                      </c:pt>
                      <c:pt idx="167">
                        <c:v>0.35495657893134236</c:v>
                      </c:pt>
                      <c:pt idx="168">
                        <c:v>0.35699872923847686</c:v>
                      </c:pt>
                      <c:pt idx="169">
                        <c:v>0.35865924509457631</c:v>
                      </c:pt>
                      <c:pt idx="170">
                        <c:v>0.35378325599145788</c:v>
                      </c:pt>
                      <c:pt idx="171">
                        <c:v>0.35326561351797947</c:v>
                      </c:pt>
                      <c:pt idx="172">
                        <c:v>0.35525092465155556</c:v>
                      </c:pt>
                      <c:pt idx="173">
                        <c:v>0.36172450052576238</c:v>
                      </c:pt>
                      <c:pt idx="174">
                        <c:v>0.36171029073237276</c:v>
                      </c:pt>
                      <c:pt idx="175">
                        <c:v>0.36400212740906746</c:v>
                      </c:pt>
                      <c:pt idx="176">
                        <c:v>0.3686182802902046</c:v>
                      </c:pt>
                      <c:pt idx="177">
                        <c:v>0.36693340478829439</c:v>
                      </c:pt>
                      <c:pt idx="178">
                        <c:v>0.37584091527309194</c:v>
                      </c:pt>
                      <c:pt idx="179">
                        <c:v>0.3693653094284009</c:v>
                      </c:pt>
                      <c:pt idx="180">
                        <c:v>0.37216463872615291</c:v>
                      </c:pt>
                      <c:pt idx="181">
                        <c:v>0.3762022500192847</c:v>
                      </c:pt>
                      <c:pt idx="182">
                        <c:v>0.37868693389198121</c:v>
                      </c:pt>
                      <c:pt idx="183">
                        <c:v>0.38249515852039512</c:v>
                      </c:pt>
                      <c:pt idx="184">
                        <c:v>0.38955336589405992</c:v>
                      </c:pt>
                      <c:pt idx="185">
                        <c:v>0.37988664644816067</c:v>
                      </c:pt>
                      <c:pt idx="186">
                        <c:v>0.38236118046843598</c:v>
                      </c:pt>
                      <c:pt idx="187">
                        <c:v>0.3770649874750821</c:v>
                      </c:pt>
                      <c:pt idx="188">
                        <c:v>0.37833168905724113</c:v>
                      </c:pt>
                      <c:pt idx="189">
                        <c:v>0.37740602251643263</c:v>
                      </c:pt>
                      <c:pt idx="190">
                        <c:v>0.38359946246381577</c:v>
                      </c:pt>
                      <c:pt idx="191">
                        <c:v>0.38497172251115469</c:v>
                      </c:pt>
                      <c:pt idx="192">
                        <c:v>0.38200187569272742</c:v>
                      </c:pt>
                      <c:pt idx="193">
                        <c:v>0.37590181438761883</c:v>
                      </c:pt>
                      <c:pt idx="194">
                        <c:v>0.3642741434539542</c:v>
                      </c:pt>
                      <c:pt idx="195">
                        <c:v>0.33869651535266676</c:v>
                      </c:pt>
                      <c:pt idx="196">
                        <c:v>0.31114575594070865</c:v>
                      </c:pt>
                      <c:pt idx="197">
                        <c:v>0.29526123690161543</c:v>
                      </c:pt>
                      <c:pt idx="198">
                        <c:v>0.30516343292368531</c:v>
                      </c:pt>
                      <c:pt idx="199">
                        <c:v>0.30309286302977156</c:v>
                      </c:pt>
                      <c:pt idx="200">
                        <c:v>0.29211681262154449</c:v>
                      </c:pt>
                      <c:pt idx="201">
                        <c:v>0.29517800811176204</c:v>
                      </c:pt>
                      <c:pt idx="202">
                        <c:v>0.30062847886191735</c:v>
                      </c:pt>
                      <c:pt idx="203">
                        <c:v>0.31127161411073084</c:v>
                      </c:pt>
                      <c:pt idx="204">
                        <c:v>0.31425567072254768</c:v>
                      </c:pt>
                      <c:pt idx="205">
                        <c:v>0.32631978531032158</c:v>
                      </c:pt>
                      <c:pt idx="206">
                        <c:v>0.3092233738921436</c:v>
                      </c:pt>
                      <c:pt idx="207">
                        <c:v>0.31656780710408472</c:v>
                      </c:pt>
                      <c:pt idx="208">
                        <c:v>0.32167521284240524</c:v>
                      </c:pt>
                      <c:pt idx="209">
                        <c:v>0.32446845222870457</c:v>
                      </c:pt>
                      <c:pt idx="210">
                        <c:v>0.32521142142593246</c:v>
                      </c:pt>
                      <c:pt idx="211">
                        <c:v>0.32518097186866901</c:v>
                      </c:pt>
                      <c:pt idx="212">
                        <c:v>0.33982720891238244</c:v>
                      </c:pt>
                      <c:pt idx="213">
                        <c:v>0.34514167164009435</c:v>
                      </c:pt>
                      <c:pt idx="214">
                        <c:v>0.33908220974467029</c:v>
                      </c:pt>
                      <c:pt idx="215">
                        <c:v>0.3379251265686597</c:v>
                      </c:pt>
                      <c:pt idx="216">
                        <c:v>0.33986374838109856</c:v>
                      </c:pt>
                      <c:pt idx="217">
                        <c:v>0.34233625243088966</c:v>
                      </c:pt>
                      <c:pt idx="218">
                        <c:v>0.34847488317519865</c:v>
                      </c:pt>
                      <c:pt idx="219">
                        <c:v>0.35642018765047156</c:v>
                      </c:pt>
                      <c:pt idx="220">
                        <c:v>0.36250197922122213</c:v>
                      </c:pt>
                      <c:pt idx="221">
                        <c:v>0.36803567876123083</c:v>
                      </c:pt>
                      <c:pt idx="222">
                        <c:v>0.37260920226219912</c:v>
                      </c:pt>
                      <c:pt idx="223">
                        <c:v>0.37743038216224334</c:v>
                      </c:pt>
                      <c:pt idx="224">
                        <c:v>0.38374765030916452</c:v>
                      </c:pt>
                      <c:pt idx="225">
                        <c:v>0.38786443045118124</c:v>
                      </c:pt>
                      <c:pt idx="226">
                        <c:v>0.38628105347348252</c:v>
                      </c:pt>
                      <c:pt idx="227">
                        <c:v>0.39175994381041701</c:v>
                      </c:pt>
                      <c:pt idx="228">
                        <c:v>0.39138236930035036</c:v>
                      </c:pt>
                      <c:pt idx="229">
                        <c:v>0.39187159218704959</c:v>
                      </c:pt>
                      <c:pt idx="230">
                        <c:v>0.39968291861036342</c:v>
                      </c:pt>
                      <c:pt idx="231">
                        <c:v>0.40383826819158047</c:v>
                      </c:pt>
                      <c:pt idx="232">
                        <c:v>0.40618491407134938</c:v>
                      </c:pt>
                      <c:pt idx="233">
                        <c:v>0.40796925812698681</c:v>
                      </c:pt>
                      <c:pt idx="234">
                        <c:v>0.41317207247806614</c:v>
                      </c:pt>
                      <c:pt idx="235">
                        <c:v>0.42269060407861669</c:v>
                      </c:pt>
                      <c:pt idx="236">
                        <c:v>0.42553865266799018</c:v>
                      </c:pt>
                      <c:pt idx="237">
                        <c:v>0.42142593246694193</c:v>
                      </c:pt>
                      <c:pt idx="238">
                        <c:v>0.42009021188831913</c:v>
                      </c:pt>
                      <c:pt idx="239">
                        <c:v>0.41252857183456554</c:v>
                      </c:pt>
                      <c:pt idx="240">
                        <c:v>0.4157704346978795</c:v>
                      </c:pt>
                      <c:pt idx="241">
                        <c:v>0.42560767166445401</c:v>
                      </c:pt>
                      <c:pt idx="242">
                        <c:v>0.43127737922690607</c:v>
                      </c:pt>
                      <c:pt idx="243">
                        <c:v>0.43162653415019347</c:v>
                      </c:pt>
                      <c:pt idx="244">
                        <c:v>0.43449082250344079</c:v>
                      </c:pt>
                      <c:pt idx="245">
                        <c:v>0.43725361233247667</c:v>
                      </c:pt>
                      <c:pt idx="246">
                        <c:v>0.44281167151829615</c:v>
                      </c:pt>
                      <c:pt idx="247">
                        <c:v>0.45290062482491505</c:v>
                      </c:pt>
                      <c:pt idx="248">
                        <c:v>0.44665034570397344</c:v>
                      </c:pt>
                      <c:pt idx="249">
                        <c:v>0.44330292437547958</c:v>
                      </c:pt>
                      <c:pt idx="250">
                        <c:v>0.44805914522002849</c:v>
                      </c:pt>
                      <c:pt idx="251">
                        <c:v>0.45077727569841136</c:v>
                      </c:pt>
                      <c:pt idx="252">
                        <c:v>0.45496307483689186</c:v>
                      </c:pt>
                      <c:pt idx="253">
                        <c:v>0.45354209549793145</c:v>
                      </c:pt>
                      <c:pt idx="254">
                        <c:v>0.45379584180846011</c:v>
                      </c:pt>
                      <c:pt idx="255">
                        <c:v>0.45537109890422195</c:v>
                      </c:pt>
                      <c:pt idx="256">
                        <c:v>0.45623180638953509</c:v>
                      </c:pt>
                      <c:pt idx="257">
                        <c:v>0.46157265873354203</c:v>
                      </c:pt>
                      <c:pt idx="258">
                        <c:v>0.45585829182043691</c:v>
                      </c:pt>
                      <c:pt idx="259">
                        <c:v>0.46529968454258674</c:v>
                      </c:pt>
                      <c:pt idx="260">
                        <c:v>0.47331806795529191</c:v>
                      </c:pt>
                      <c:pt idx="261">
                        <c:v>0.48173635555339023</c:v>
                      </c:pt>
                      <c:pt idx="262">
                        <c:v>0.48245699507529161</c:v>
                      </c:pt>
                      <c:pt idx="263">
                        <c:v>0.48414390054768602</c:v>
                      </c:pt>
                      <c:pt idx="264">
                        <c:v>0.4850106979444519</c:v>
                      </c:pt>
                      <c:pt idx="265">
                        <c:v>0.49104377022358092</c:v>
                      </c:pt>
                      <c:pt idx="266">
                        <c:v>0.48751162158102224</c:v>
                      </c:pt>
                      <c:pt idx="267">
                        <c:v>0.48963497070752593</c:v>
                      </c:pt>
                      <c:pt idx="268">
                        <c:v>0.49194101717761024</c:v>
                      </c:pt>
                      <c:pt idx="269">
                        <c:v>0.48427381865867669</c:v>
                      </c:pt>
                      <c:pt idx="270">
                        <c:v>0.47988096253080481</c:v>
                      </c:pt>
                      <c:pt idx="271">
                        <c:v>0.47800526980337704</c:v>
                      </c:pt>
                      <c:pt idx="272">
                        <c:v>0.49036170014087993</c:v>
                      </c:pt>
                      <c:pt idx="273">
                        <c:v>0.49079205388353653</c:v>
                      </c:pt>
                      <c:pt idx="274">
                        <c:v>0.49741381760309206</c:v>
                      </c:pt>
                      <c:pt idx="275">
                        <c:v>0.49750313630439813</c:v>
                      </c:pt>
                      <c:pt idx="276">
                        <c:v>0.50512364550219435</c:v>
                      </c:pt>
                      <c:pt idx="277">
                        <c:v>0.50434616680673461</c:v>
                      </c:pt>
                      <c:pt idx="278">
                        <c:v>0.50024765639907598</c:v>
                      </c:pt>
                      <c:pt idx="279">
                        <c:v>0.49723315022999565</c:v>
                      </c:pt>
                      <c:pt idx="280">
                        <c:v>0.50020502701890712</c:v>
                      </c:pt>
                      <c:pt idx="281">
                        <c:v>0.50227762688330513</c:v>
                      </c:pt>
                      <c:pt idx="282">
                        <c:v>0.49807964792191922</c:v>
                      </c:pt>
                      <c:pt idx="283">
                        <c:v>0.50324795277476664</c:v>
                      </c:pt>
                      <c:pt idx="284">
                        <c:v>0.50115505320552645</c:v>
                      </c:pt>
                      <c:pt idx="285">
                        <c:v>0.50544641080918684</c:v>
                      </c:pt>
                      <c:pt idx="286">
                        <c:v>0.50785598577396684</c:v>
                      </c:pt>
                      <c:pt idx="287">
                        <c:v>0.517628263685046</c:v>
                      </c:pt>
                      <c:pt idx="288">
                        <c:v>0.51647524045000381</c:v>
                      </c:pt>
                      <c:pt idx="289">
                        <c:v>0.51596368788797808</c:v>
                      </c:pt>
                      <c:pt idx="290">
                        <c:v>0.52104673398048795</c:v>
                      </c:pt>
                      <c:pt idx="291">
                        <c:v>0.52275190918724046</c:v>
                      </c:pt>
                      <c:pt idx="292">
                        <c:v>0.52080922743383307</c:v>
                      </c:pt>
                      <c:pt idx="293">
                        <c:v>0.53387005752936356</c:v>
                      </c:pt>
                      <c:pt idx="294">
                        <c:v>0.54027461440710656</c:v>
                      </c:pt>
                      <c:pt idx="295">
                        <c:v>0.54004319777190435</c:v>
                      </c:pt>
                      <c:pt idx="296">
                        <c:v>0.53897746326768414</c:v>
                      </c:pt>
                      <c:pt idx="297">
                        <c:v>0.54203053887596475</c:v>
                      </c:pt>
                      <c:pt idx="298">
                        <c:v>0.53690486340328614</c:v>
                      </c:pt>
                      <c:pt idx="299">
                        <c:v>0.54189453085352135</c:v>
                      </c:pt>
                      <c:pt idx="300">
                        <c:v>0.54198790949579589</c:v>
                      </c:pt>
                      <c:pt idx="301">
                        <c:v>0.54298868494452091</c:v>
                      </c:pt>
                      <c:pt idx="302">
                        <c:v>0.56210085705353841</c:v>
                      </c:pt>
                      <c:pt idx="303">
                        <c:v>0.5620561977028854</c:v>
                      </c:pt>
                      <c:pt idx="304">
                        <c:v>0.57063282299875362</c:v>
                      </c:pt>
                      <c:pt idx="305">
                        <c:v>0.57534438449264946</c:v>
                      </c:pt>
                      <c:pt idx="306">
                        <c:v>0.57058816364810061</c:v>
                      </c:pt>
                      <c:pt idx="307">
                        <c:v>0.5752672456142488</c:v>
                      </c:pt>
                      <c:pt idx="308">
                        <c:v>0.57441465801087255</c:v>
                      </c:pt>
                      <c:pt idx="309">
                        <c:v>0.57606299404406658</c:v>
                      </c:pt>
                      <c:pt idx="310">
                        <c:v>0.58913803393298658</c:v>
                      </c:pt>
                      <c:pt idx="311">
                        <c:v>0.58440414276376418</c:v>
                      </c:pt>
                      <c:pt idx="312">
                        <c:v>0.58858994190224478</c:v>
                      </c:pt>
                      <c:pt idx="313">
                        <c:v>0.58851077305335986</c:v>
                      </c:pt>
                      <c:pt idx="314">
                        <c:v>0.58730700055621188</c:v>
                      </c:pt>
                      <c:pt idx="315">
                        <c:v>0.59635254903393708</c:v>
                      </c:pt>
                      <c:pt idx="316">
                        <c:v>0.60187000881007191</c:v>
                      </c:pt>
                      <c:pt idx="317">
                        <c:v>0.58221989452273359</c:v>
                      </c:pt>
                      <c:pt idx="318">
                        <c:v>0.58488727573901078</c:v>
                      </c:pt>
                      <c:pt idx="319">
                        <c:v>0.58681168775806003</c:v>
                      </c:pt>
                      <c:pt idx="320">
                        <c:v>0.6010255410886326</c:v>
                      </c:pt>
                      <c:pt idx="321">
                        <c:v>0.60008972469540289</c:v>
                      </c:pt>
                      <c:pt idx="322">
                        <c:v>0.60979095363953406</c:v>
                      </c:pt>
                      <c:pt idx="323">
                        <c:v>0.60898302538681093</c:v>
                      </c:pt>
                      <c:pt idx="324">
                        <c:v>0.61545457129053338</c:v>
                      </c:pt>
                      <c:pt idx="325">
                        <c:v>0.62198092639733016</c:v>
                      </c:pt>
                      <c:pt idx="326">
                        <c:v>0.61393412339784581</c:v>
                      </c:pt>
                      <c:pt idx="327">
                        <c:v>0.61611025175693945</c:v>
                      </c:pt>
                      <c:pt idx="328">
                        <c:v>0.62303854101961353</c:v>
                      </c:pt>
                      <c:pt idx="329">
                        <c:v>0.62426261322160381</c:v>
                      </c:pt>
                      <c:pt idx="330">
                        <c:v>0.62046859838657942</c:v>
                      </c:pt>
                      <c:pt idx="331">
                        <c:v>0.62087053254245683</c:v>
                      </c:pt>
                      <c:pt idx="332">
                        <c:v>0.56602478999955341</c:v>
                      </c:pt>
                      <c:pt idx="333">
                        <c:v>0.46319054520947267</c:v>
                      </c:pt>
                      <c:pt idx="334">
                        <c:v>0.60054037814290184</c:v>
                      </c:pt>
                      <c:pt idx="335">
                        <c:v>0.65706084633529427</c:v>
                      </c:pt>
                      <c:pt idx="336">
                        <c:v>0.66938885708601792</c:v>
                      </c:pt>
                      <c:pt idx="337">
                        <c:v>0.67308949327876777</c:v>
                      </c:pt>
                      <c:pt idx="338">
                        <c:v>0.69137140745973558</c:v>
                      </c:pt>
                      <c:pt idx="339">
                        <c:v>0.68743529469081521</c:v>
                      </c:pt>
                      <c:pt idx="340">
                        <c:v>0.68198685391114411</c:v>
                      </c:pt>
                      <c:pt idx="341">
                        <c:v>0.69796272162202766</c:v>
                      </c:pt>
                      <c:pt idx="342">
                        <c:v>0.72974190955263507</c:v>
                      </c:pt>
                      <c:pt idx="343">
                        <c:v>0.70376031732498612</c:v>
                      </c:pt>
                      <c:pt idx="344">
                        <c:v>0.80688687786479585</c:v>
                      </c:pt>
                      <c:pt idx="345">
                        <c:v>0.81214856135991786</c:v>
                      </c:pt>
                      <c:pt idx="346">
                        <c:v>0.80076042694339222</c:v>
                      </c:pt>
                      <c:pt idx="347">
                        <c:v>0.80799321177870076</c:v>
                      </c:pt>
                      <c:pt idx="348">
                        <c:v>0.78454299274488548</c:v>
                      </c:pt>
                      <c:pt idx="349">
                        <c:v>0.79241318831224195</c:v>
                      </c:pt>
                      <c:pt idx="350">
                        <c:v>0.80088628511341442</c:v>
                      </c:pt>
                      <c:pt idx="351">
                        <c:v>0.81856732803105048</c:v>
                      </c:pt>
                      <c:pt idx="352">
                        <c:v>0.83018078917132543</c:v>
                      </c:pt>
                      <c:pt idx="353">
                        <c:v>0.82245675147883346</c:v>
                      </c:pt>
                      <c:pt idx="354">
                        <c:v>0.84880576836412802</c:v>
                      </c:pt>
                      <c:pt idx="355">
                        <c:v>0.85595126446861458</c:v>
                      </c:pt>
                      <c:pt idx="356">
                        <c:v>0.87768818841374041</c:v>
                      </c:pt>
                      <c:pt idx="357">
                        <c:v>0.89079773780089233</c:v>
                      </c:pt>
                      <c:pt idx="358">
                        <c:v>0.88856680023872447</c:v>
                      </c:pt>
                      <c:pt idx="359">
                        <c:v>0.9001619916446415</c:v>
                      </c:pt>
                      <c:pt idx="360">
                        <c:v>0.88739550726932426</c:v>
                      </c:pt>
                      <c:pt idx="361">
                        <c:v>0.89131132033340232</c:v>
                      </c:pt>
                      <c:pt idx="362">
                        <c:v>0.88775887198600134</c:v>
                      </c:pt>
                      <c:pt idx="363">
                        <c:v>0.8990455078783155</c:v>
                      </c:pt>
                      <c:pt idx="364">
                        <c:v>0.88148626318973322</c:v>
                      </c:pt>
                      <c:pt idx="365">
                        <c:v>0.86679536679536684</c:v>
                      </c:pt>
                      <c:pt idx="366">
                        <c:v>0.91317004250758194</c:v>
                      </c:pt>
                      <c:pt idx="367">
                        <c:v>0.90139824366953702</c:v>
                      </c:pt>
                      <c:pt idx="368">
                        <c:v>0.88647187069900002</c:v>
                      </c:pt>
                      <c:pt idx="369">
                        <c:v>0.89674758129016807</c:v>
                      </c:pt>
                      <c:pt idx="370">
                        <c:v>0.90164387009812874</c:v>
                      </c:pt>
                      <c:pt idx="371">
                        <c:v>0.90648331973253105</c:v>
                      </c:pt>
                      <c:pt idx="372">
                        <c:v>0.90767491240677356</c:v>
                      </c:pt>
                      <c:pt idx="373">
                        <c:v>0.91972075726018943</c:v>
                      </c:pt>
                      <c:pt idx="374">
                        <c:v>0.92736359613331221</c:v>
                      </c:pt>
                      <c:pt idx="375">
                        <c:v>0.92038252763804818</c:v>
                      </c:pt>
                      <c:pt idx="376">
                        <c:v>0.91642408519380125</c:v>
                      </c:pt>
                      <c:pt idx="377">
                        <c:v>0.91782273485743515</c:v>
                      </c:pt>
                      <c:pt idx="378">
                        <c:v>0.9070395316452099</c:v>
                      </c:pt>
                      <c:pt idx="379">
                        <c:v>0.91569126584899452</c:v>
                      </c:pt>
                      <c:pt idx="380">
                        <c:v>0.92130007429691974</c:v>
                      </c:pt>
                      <c:pt idx="381">
                        <c:v>0.92070529294504055</c:v>
                      </c:pt>
                      <c:pt idx="382">
                        <c:v>0.93023803433898067</c:v>
                      </c:pt>
                      <c:pt idx="383">
                        <c:v>0.92944025593867863</c:v>
                      </c:pt>
                      <c:pt idx="384">
                        <c:v>0.94128513371415579</c:v>
                      </c:pt>
                      <c:pt idx="385">
                        <c:v>0.93679280903255668</c:v>
                      </c:pt>
                      <c:pt idx="386">
                        <c:v>0.94729384634747416</c:v>
                      </c:pt>
                      <c:pt idx="387">
                        <c:v>0.95540966834342234</c:v>
                      </c:pt>
                      <c:pt idx="388">
                        <c:v>0.9626607229130888</c:v>
                      </c:pt>
                      <c:pt idx="389">
                        <c:v>0.97374233178649583</c:v>
                      </c:pt>
                      <c:pt idx="390">
                        <c:v>0.96190760386343988</c:v>
                      </c:pt>
                      <c:pt idx="391">
                        <c:v>0.96341181199225367</c:v>
                      </c:pt>
                      <c:pt idx="392">
                        <c:v>0.98047777385316814</c:v>
                      </c:pt>
                      <c:pt idx="393">
                        <c:v>0.97722982107840151</c:v>
                      </c:pt>
                      <c:pt idx="394">
                        <c:v>0.96609746294288878</c:v>
                      </c:pt>
                      <c:pt idx="395">
                        <c:v>0.97849855263104479</c:v>
                      </c:pt>
                      <c:pt idx="396">
                        <c:v>0.98783844682898314</c:v>
                      </c:pt>
                      <c:pt idx="397">
                        <c:v>0.99474440641633066</c:v>
                      </c:pt>
                      <c:pt idx="398">
                        <c:v>0.99524377915545104</c:v>
                      </c:pt>
                      <c:pt idx="399">
                        <c:v>0.99311434011749466</c:v>
                      </c:pt>
                      <c:pt idx="400">
                        <c:v>0.99994519079692579</c:v>
                      </c:pt>
                      <c:pt idx="401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E542-4FC2-A1E6-C379A5B1ABBB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FinalData!$I$1</c15:sqref>
                        </c15:formulaRef>
                      </c:ext>
                    </c:extLst>
                    <c:strCache>
                      <c:ptCount val="1"/>
                      <c:pt idx="0">
                        <c:v>Prediction</c:v>
                      </c:pt>
                    </c:strCache>
                  </c:strRef>
                </c:tx>
                <c:spPr>
                  <a:ln w="317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FinalData!$J$2:$J$403</c15:sqref>
                        </c15:formulaRef>
                      </c:ext>
                    </c:extLst>
                    <c:numCache>
                      <c:formatCode>m/d/yyyy</c:formatCode>
                      <c:ptCount val="402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  <c:pt idx="396">
                        <c:v>45658</c:v>
                      </c:pt>
                      <c:pt idx="397">
                        <c:v>45689</c:v>
                      </c:pt>
                      <c:pt idx="398">
                        <c:v>45717</c:v>
                      </c:pt>
                      <c:pt idx="399">
                        <c:v>45748</c:v>
                      </c:pt>
                      <c:pt idx="400">
                        <c:v>45778</c:v>
                      </c:pt>
                      <c:pt idx="401">
                        <c:v>45809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FinalData!$I$2:$I$403</c15:sqref>
                        </c15:formulaRef>
                      </c:ext>
                    </c:extLst>
                    <c:numCache>
                      <c:formatCode>General</c:formatCode>
                      <c:ptCount val="402"/>
                      <c:pt idx="0">
                        <c:v>1.2069587683759035E-2</c:v>
                      </c:pt>
                      <c:pt idx="1">
                        <c:v>1.3081978896236163E-2</c:v>
                      </c:pt>
                      <c:pt idx="2">
                        <c:v>1.374838719922852E-2</c:v>
                      </c:pt>
                      <c:pt idx="3">
                        <c:v>1.5123086552532613E-2</c:v>
                      </c:pt>
                      <c:pt idx="4">
                        <c:v>1.6463149429661816E-2</c:v>
                      </c:pt>
                      <c:pt idx="5">
                        <c:v>1.7523733499502463E-2</c:v>
                      </c:pt>
                      <c:pt idx="6">
                        <c:v>1.8974675349011823E-2</c:v>
                      </c:pt>
                      <c:pt idx="7">
                        <c:v>2.0659848316498055E-2</c:v>
                      </c:pt>
                      <c:pt idx="8">
                        <c:v>2.1866266521645184E-2</c:v>
                      </c:pt>
                      <c:pt idx="9">
                        <c:v>2.2307961486312648E-2</c:v>
                      </c:pt>
                      <c:pt idx="10">
                        <c:v>2.4536076458960734E-2</c:v>
                      </c:pt>
                      <c:pt idx="11">
                        <c:v>2.6247742401764546E-2</c:v>
                      </c:pt>
                      <c:pt idx="12">
                        <c:v>2.7668399478451802E-2</c:v>
                      </c:pt>
                      <c:pt idx="13">
                        <c:v>3.0275981516545199E-2</c:v>
                      </c:pt>
                      <c:pt idx="14">
                        <c:v>3.1782684136311655E-2</c:v>
                      </c:pt>
                      <c:pt idx="15">
                        <c:v>3.4080721651007041E-2</c:v>
                      </c:pt>
                      <c:pt idx="16">
                        <c:v>3.5840278110185697E-2</c:v>
                      </c:pt>
                      <c:pt idx="17">
                        <c:v>3.8601597956597011E-2</c:v>
                      </c:pt>
                      <c:pt idx="18">
                        <c:v>4.1271755914237082E-2</c:v>
                      </c:pt>
                      <c:pt idx="19">
                        <c:v>4.2594334456231682E-2</c:v>
                      </c:pt>
                      <c:pt idx="20">
                        <c:v>4.5846526579876236E-2</c:v>
                      </c:pt>
                      <c:pt idx="21">
                        <c:v>5.0048167667289811E-2</c:v>
                      </c:pt>
                      <c:pt idx="22">
                        <c:v>5.2778800912947073E-2</c:v>
                      </c:pt>
                      <c:pt idx="23">
                        <c:v>5.4235439885889011E-2</c:v>
                      </c:pt>
                      <c:pt idx="24">
                        <c:v>5.6980672371079455E-2</c:v>
                      </c:pt>
                      <c:pt idx="25">
                        <c:v>5.8505123209148593E-2</c:v>
                      </c:pt>
                      <c:pt idx="26">
                        <c:v>6.1647247667518536E-2</c:v>
                      </c:pt>
                      <c:pt idx="27">
                        <c:v>6.4648090025272248E-2</c:v>
                      </c:pt>
                      <c:pt idx="28">
                        <c:v>6.8217615872029597E-2</c:v>
                      </c:pt>
                      <c:pt idx="29">
                        <c:v>7.0903411564388757E-2</c:v>
                      </c:pt>
                      <c:pt idx="30">
                        <c:v>7.3135370275313208E-2</c:v>
                      </c:pt>
                      <c:pt idx="31">
                        <c:v>7.5092805941458368E-2</c:v>
                      </c:pt>
                      <c:pt idx="32">
                        <c:v>7.3504347973957662E-2</c:v>
                      </c:pt>
                      <c:pt idx="33">
                        <c:v>7.4399897353433581E-2</c:v>
                      </c:pt>
                      <c:pt idx="34">
                        <c:v>7.4060391378780788E-2</c:v>
                      </c:pt>
                      <c:pt idx="35">
                        <c:v>7.6525256123023369E-2</c:v>
                      </c:pt>
                      <c:pt idx="36">
                        <c:v>7.9681446961737762E-2</c:v>
                      </c:pt>
                      <c:pt idx="37">
                        <c:v>8.0825756223913942E-2</c:v>
                      </c:pt>
                      <c:pt idx="38">
                        <c:v>8.3492115989177856E-2</c:v>
                      </c:pt>
                      <c:pt idx="39">
                        <c:v>8.4882414910516971E-2</c:v>
                      </c:pt>
                      <c:pt idx="40">
                        <c:v>8.4786314044085889E-2</c:v>
                      </c:pt>
                      <c:pt idx="41">
                        <c:v>8.727558594147429E-2</c:v>
                      </c:pt>
                      <c:pt idx="42">
                        <c:v>8.8976658221014165E-2</c:v>
                      </c:pt>
                      <c:pt idx="43">
                        <c:v>8.9739788212118379E-2</c:v>
                      </c:pt>
                      <c:pt idx="44">
                        <c:v>9.3256900855856792E-2</c:v>
                      </c:pt>
                      <c:pt idx="45">
                        <c:v>9.5654710992314276E-2</c:v>
                      </c:pt>
                      <c:pt idx="46">
                        <c:v>9.8488516988512478E-2</c:v>
                      </c:pt>
                      <c:pt idx="47">
                        <c:v>0.10185559186606902</c:v>
                      </c:pt>
                      <c:pt idx="48">
                        <c:v>0.10200558056552361</c:v>
                      </c:pt>
                      <c:pt idx="49">
                        <c:v>0.10304760937669949</c:v>
                      </c:pt>
                      <c:pt idx="50">
                        <c:v>0.10296643782492386</c:v>
                      </c:pt>
                      <c:pt idx="51">
                        <c:v>0.10515758138163006</c:v>
                      </c:pt>
                      <c:pt idx="52">
                        <c:v>0.10799035740223241</c:v>
                      </c:pt>
                      <c:pt idx="53">
                        <c:v>0.10940914971263331</c:v>
                      </c:pt>
                      <c:pt idx="54">
                        <c:v>0.11056291753991669</c:v>
                      </c:pt>
                      <c:pt idx="55">
                        <c:v>0.11341638651010157</c:v>
                      </c:pt>
                      <c:pt idx="56">
                        <c:v>0.11590254511097242</c:v>
                      </c:pt>
                      <c:pt idx="57">
                        <c:v>0.11868725752249006</c:v>
                      </c:pt>
                      <c:pt idx="58">
                        <c:v>0.11640460066218501</c:v>
                      </c:pt>
                      <c:pt idx="59">
                        <c:v>0.11504627236827517</c:v>
                      </c:pt>
                      <c:pt idx="60">
                        <c:v>0.11574209408609619</c:v>
                      </c:pt>
                      <c:pt idx="61">
                        <c:v>0.11837237247803452</c:v>
                      </c:pt>
                      <c:pt idx="62">
                        <c:v>0.11959173405138616</c:v>
                      </c:pt>
                      <c:pt idx="63">
                        <c:v>0.12286438976561564</c:v>
                      </c:pt>
                      <c:pt idx="64">
                        <c:v>0.12403262239842881</c:v>
                      </c:pt>
                      <c:pt idx="65">
                        <c:v>0.12355976669634482</c:v>
                      </c:pt>
                      <c:pt idx="66">
                        <c:v>0.12388380262709833</c:v>
                      </c:pt>
                      <c:pt idx="67">
                        <c:v>0.12459640439180866</c:v>
                      </c:pt>
                      <c:pt idx="68">
                        <c:v>0.12417530252497629</c:v>
                      </c:pt>
                      <c:pt idx="69">
                        <c:v>0.12525190287770288</c:v>
                      </c:pt>
                      <c:pt idx="70">
                        <c:v>0.1298592992073842</c:v>
                      </c:pt>
                      <c:pt idx="71">
                        <c:v>0.13212886684237765</c:v>
                      </c:pt>
                      <c:pt idx="72">
                        <c:v>0.13650614662969818</c:v>
                      </c:pt>
                      <c:pt idx="73">
                        <c:v>0.13619474603809129</c:v>
                      </c:pt>
                      <c:pt idx="74">
                        <c:v>0.13336471887611911</c:v>
                      </c:pt>
                      <c:pt idx="75">
                        <c:v>0.13368497959073461</c:v>
                      </c:pt>
                      <c:pt idx="76">
                        <c:v>0.13809180481584871</c:v>
                      </c:pt>
                      <c:pt idx="77">
                        <c:v>0.14161378442068359</c:v>
                      </c:pt>
                      <c:pt idx="78">
                        <c:v>0.14772692797430528</c:v>
                      </c:pt>
                      <c:pt idx="79">
                        <c:v>0.15179441090199031</c:v>
                      </c:pt>
                      <c:pt idx="80">
                        <c:v>0.15738365778859331</c:v>
                      </c:pt>
                      <c:pt idx="81">
                        <c:v>0.16071319779321339</c:v>
                      </c:pt>
                      <c:pt idx="82">
                        <c:v>0.16520084801852311</c:v>
                      </c:pt>
                      <c:pt idx="83">
                        <c:v>0.1692680735278641</c:v>
                      </c:pt>
                      <c:pt idx="84">
                        <c:v>0.17266366145256787</c:v>
                      </c:pt>
                      <c:pt idx="85">
                        <c:v>0.1763928578865783</c:v>
                      </c:pt>
                      <c:pt idx="86">
                        <c:v>0.18170103248504996</c:v>
                      </c:pt>
                      <c:pt idx="87">
                        <c:v>0.18533435816745428</c:v>
                      </c:pt>
                      <c:pt idx="88">
                        <c:v>0.18555877410449362</c:v>
                      </c:pt>
                      <c:pt idx="89">
                        <c:v>0.19084236024307336</c:v>
                      </c:pt>
                      <c:pt idx="90">
                        <c:v>0.20050383396343421</c:v>
                      </c:pt>
                      <c:pt idx="91">
                        <c:v>0.20047421551348835</c:v>
                      </c:pt>
                      <c:pt idx="92">
                        <c:v>0.20893286252460525</c:v>
                      </c:pt>
                      <c:pt idx="93">
                        <c:v>0.21670188069357568</c:v>
                      </c:pt>
                      <c:pt idx="94">
                        <c:v>0.20995809104549804</c:v>
                      </c:pt>
                      <c:pt idx="95">
                        <c:v>0.20974043090270469</c:v>
                      </c:pt>
                      <c:pt idx="96">
                        <c:v>0.21196006132947592</c:v>
                      </c:pt>
                      <c:pt idx="97">
                        <c:v>0.2068068845714667</c:v>
                      </c:pt>
                      <c:pt idx="98">
                        <c:v>0.20667731845740359</c:v>
                      </c:pt>
                      <c:pt idx="99">
                        <c:v>0.21359105921806451</c:v>
                      </c:pt>
                      <c:pt idx="100">
                        <c:v>0.21416361507784118</c:v>
                      </c:pt>
                      <c:pt idx="101">
                        <c:v>0.21182169303561238</c:v>
                      </c:pt>
                      <c:pt idx="102">
                        <c:v>0.21162028201012673</c:v>
                      </c:pt>
                      <c:pt idx="103">
                        <c:v>0.21569254833379845</c:v>
                      </c:pt>
                      <c:pt idx="104">
                        <c:v>0.21535483549598411</c:v>
                      </c:pt>
                      <c:pt idx="105">
                        <c:v>0.21158731156558744</c:v>
                      </c:pt>
                      <c:pt idx="106">
                        <c:v>0.21856101473956621</c:v>
                      </c:pt>
                      <c:pt idx="107">
                        <c:v>0.22123945870149281</c:v>
                      </c:pt>
                      <c:pt idx="108">
                        <c:v>0.21926443258597272</c:v>
                      </c:pt>
                      <c:pt idx="109">
                        <c:v>0.21638862362935732</c:v>
                      </c:pt>
                      <c:pt idx="110">
                        <c:v>0.21952667616489008</c:v>
                      </c:pt>
                      <c:pt idx="111">
                        <c:v>0.20591317159063341</c:v>
                      </c:pt>
                      <c:pt idx="112">
                        <c:v>0.23680712991966871</c:v>
                      </c:pt>
                      <c:pt idx="113">
                        <c:v>0.22937767865739719</c:v>
                      </c:pt>
                      <c:pt idx="114">
                        <c:v>0.22660085241176625</c:v>
                      </c:pt>
                      <c:pt idx="115">
                        <c:v>0.22216148855269538</c:v>
                      </c:pt>
                      <c:pt idx="116">
                        <c:v>0.22456787921261048</c:v>
                      </c:pt>
                      <c:pt idx="117">
                        <c:v>0.2144479445676099</c:v>
                      </c:pt>
                      <c:pt idx="118">
                        <c:v>0.22309315185247772</c:v>
                      </c:pt>
                      <c:pt idx="119">
                        <c:v>0.22203042249479993</c:v>
                      </c:pt>
                      <c:pt idx="120">
                        <c:v>0.22368289508933109</c:v>
                      </c:pt>
                      <c:pt idx="121">
                        <c:v>0.2288981032199798</c:v>
                      </c:pt>
                      <c:pt idx="122">
                        <c:v>0.23420282221577568</c:v>
                      </c:pt>
                      <c:pt idx="123">
                        <c:v>0.2266479960928536</c:v>
                      </c:pt>
                      <c:pt idx="124">
                        <c:v>0.22937148715405112</c:v>
                      </c:pt>
                      <c:pt idx="125">
                        <c:v>0.22752035656448302</c:v>
                      </c:pt>
                      <c:pt idx="126">
                        <c:v>0.23082544431047594</c:v>
                      </c:pt>
                      <c:pt idx="127">
                        <c:v>0.23524880481986132</c:v>
                      </c:pt>
                      <c:pt idx="128">
                        <c:v>0.23284805165445194</c:v>
                      </c:pt>
                      <c:pt idx="129">
                        <c:v>0.23633986456483835</c:v>
                      </c:pt>
                      <c:pt idx="130">
                        <c:v>0.23717993163042872</c:v>
                      </c:pt>
                      <c:pt idx="131">
                        <c:v>0.23693333229423447</c:v>
                      </c:pt>
                      <c:pt idx="132">
                        <c:v>0.24328711177662113</c:v>
                      </c:pt>
                      <c:pt idx="133">
                        <c:v>0.25096973449491694</c:v>
                      </c:pt>
                      <c:pt idx="134">
                        <c:v>0.25770351478695641</c:v>
                      </c:pt>
                      <c:pt idx="135">
                        <c:v>0.25939196717892576</c:v>
                      </c:pt>
                      <c:pt idx="136">
                        <c:v>0.2583737192167142</c:v>
                      </c:pt>
                      <c:pt idx="137">
                        <c:v>0.25760177646182048</c:v>
                      </c:pt>
                      <c:pt idx="138">
                        <c:v>0.25838495798997596</c:v>
                      </c:pt>
                      <c:pt idx="139">
                        <c:v>0.25927540758303497</c:v>
                      </c:pt>
                      <c:pt idx="140">
                        <c:v>0.26370551390337471</c:v>
                      </c:pt>
                      <c:pt idx="141">
                        <c:v>0.27483240753238375</c:v>
                      </c:pt>
                      <c:pt idx="142">
                        <c:v>0.27352760813870342</c:v>
                      </c:pt>
                      <c:pt idx="143">
                        <c:v>0.28055095821469295</c:v>
                      </c:pt>
                      <c:pt idx="144">
                        <c:v>0.27688416828676404</c:v>
                      </c:pt>
                      <c:pt idx="145">
                        <c:v>0.27958880581936441</c:v>
                      </c:pt>
                      <c:pt idx="146">
                        <c:v>0.27634070866495319</c:v>
                      </c:pt>
                      <c:pt idx="147">
                        <c:v>0.28782978687204375</c:v>
                      </c:pt>
                      <c:pt idx="148">
                        <c:v>0.28953426372896951</c:v>
                      </c:pt>
                      <c:pt idx="149">
                        <c:v>0.29628809716501381</c:v>
                      </c:pt>
                      <c:pt idx="150">
                        <c:v>0.30255808600509232</c:v>
                      </c:pt>
                      <c:pt idx="151">
                        <c:v>0.29792308644967858</c:v>
                      </c:pt>
                      <c:pt idx="152">
                        <c:v>0.30064264712235844</c:v>
                      </c:pt>
                      <c:pt idx="153">
                        <c:v>0.30149217455336741</c:v>
                      </c:pt>
                      <c:pt idx="154">
                        <c:v>0.3052559038008878</c:v>
                      </c:pt>
                      <c:pt idx="155">
                        <c:v>0.30133364240342531</c:v>
                      </c:pt>
                      <c:pt idx="156">
                        <c:v>0.31961004918944869</c:v>
                      </c:pt>
                      <c:pt idx="157">
                        <c:v>0.32278911436187913</c:v>
                      </c:pt>
                      <c:pt idx="158">
                        <c:v>0.31768542914506454</c:v>
                      </c:pt>
                      <c:pt idx="159">
                        <c:v>0.31700063611157436</c:v>
                      </c:pt>
                      <c:pt idx="160">
                        <c:v>0.31451135170602113</c:v>
                      </c:pt>
                      <c:pt idx="161">
                        <c:v>0.31253687393319585</c:v>
                      </c:pt>
                      <c:pt idx="162">
                        <c:v>0.31306789857145617</c:v>
                      </c:pt>
                      <c:pt idx="163">
                        <c:v>0.33120830765187415</c:v>
                      </c:pt>
                      <c:pt idx="164">
                        <c:v>0.3284029457428731</c:v>
                      </c:pt>
                      <c:pt idx="165">
                        <c:v>0.33097452401464261</c:v>
                      </c:pt>
                      <c:pt idx="166">
                        <c:v>0.33049846264047722</c:v>
                      </c:pt>
                      <c:pt idx="167">
                        <c:v>0.3266106673956708</c:v>
                      </c:pt>
                      <c:pt idx="168">
                        <c:v>0.32475921995579943</c:v>
                      </c:pt>
                      <c:pt idx="169">
                        <c:v>0.32778117932715967</c:v>
                      </c:pt>
                      <c:pt idx="170">
                        <c:v>0.32888891560211864</c:v>
                      </c:pt>
                      <c:pt idx="171">
                        <c:v>0.32459563045659506</c:v>
                      </c:pt>
                      <c:pt idx="172">
                        <c:v>0.32456715009967296</c:v>
                      </c:pt>
                      <c:pt idx="173">
                        <c:v>0.3244243782100491</c:v>
                      </c:pt>
                      <c:pt idx="174">
                        <c:v>0.32966184826034728</c:v>
                      </c:pt>
                      <c:pt idx="175">
                        <c:v>0.33092380145082823</c:v>
                      </c:pt>
                      <c:pt idx="176">
                        <c:v>0.33526812201135309</c:v>
                      </c:pt>
                      <c:pt idx="177">
                        <c:v>0.33884760328756047</c:v>
                      </c:pt>
                      <c:pt idx="178">
                        <c:v>0.33653768407330886</c:v>
                      </c:pt>
                      <c:pt idx="179">
                        <c:v>0.34199482050665592</c:v>
                      </c:pt>
                      <c:pt idx="180">
                        <c:v>0.33671495601471979</c:v>
                      </c:pt>
                      <c:pt idx="181">
                        <c:v>0.33848738542708295</c:v>
                      </c:pt>
                      <c:pt idx="182">
                        <c:v>0.33990171307024636</c:v>
                      </c:pt>
                      <c:pt idx="183">
                        <c:v>0.34236846893990758</c:v>
                      </c:pt>
                      <c:pt idx="184">
                        <c:v>0.34412773498736016</c:v>
                      </c:pt>
                      <c:pt idx="185">
                        <c:v>0.35183953770657866</c:v>
                      </c:pt>
                      <c:pt idx="186">
                        <c:v>0.34310799581271217</c:v>
                      </c:pt>
                      <c:pt idx="187">
                        <c:v>0.34383177780664737</c:v>
                      </c:pt>
                      <c:pt idx="188">
                        <c:v>0.33777603618699242</c:v>
                      </c:pt>
                      <c:pt idx="189">
                        <c:v>0.33823637154307329</c:v>
                      </c:pt>
                      <c:pt idx="190">
                        <c:v>0.3373960096771374</c:v>
                      </c:pt>
                      <c:pt idx="191">
                        <c:v>0.34661165238828745</c:v>
                      </c:pt>
                      <c:pt idx="192">
                        <c:v>0.34851534126088213</c:v>
                      </c:pt>
                      <c:pt idx="193">
                        <c:v>0.3489869421500863</c:v>
                      </c:pt>
                      <c:pt idx="194">
                        <c:v>0.34430721659267371</c:v>
                      </c:pt>
                      <c:pt idx="195">
                        <c:v>0.33516864902208132</c:v>
                      </c:pt>
                      <c:pt idx="196">
                        <c:v>0.31442325541798682</c:v>
                      </c:pt>
                      <c:pt idx="197">
                        <c:v>0.29414738054164208</c:v>
                      </c:pt>
                      <c:pt idx="198">
                        <c:v>0.2820539547784166</c:v>
                      </c:pt>
                      <c:pt idx="199">
                        <c:v>0.28949644097569088</c:v>
                      </c:pt>
                      <c:pt idx="200">
                        <c:v>0.2910487252700093</c:v>
                      </c:pt>
                      <c:pt idx="201">
                        <c:v>0.28935746364755527</c:v>
                      </c:pt>
                      <c:pt idx="202">
                        <c:v>0.29531633298701526</c:v>
                      </c:pt>
                      <c:pt idx="203">
                        <c:v>0.30065517723682539</c:v>
                      </c:pt>
                      <c:pt idx="204">
                        <c:v>0.30956745059682272</c:v>
                      </c:pt>
                      <c:pt idx="205">
                        <c:v>0.31566356972427673</c:v>
                      </c:pt>
                      <c:pt idx="206">
                        <c:v>0.33110361593767329</c:v>
                      </c:pt>
                      <c:pt idx="207">
                        <c:v>0.31913816615585727</c:v>
                      </c:pt>
                      <c:pt idx="208">
                        <c:v>0.32530395533789974</c:v>
                      </c:pt>
                      <c:pt idx="209">
                        <c:v>0.32643930240479963</c:v>
                      </c:pt>
                      <c:pt idx="210">
                        <c:v>0.33009467427277206</c:v>
                      </c:pt>
                      <c:pt idx="211">
                        <c:v>0.33117357289376997</c:v>
                      </c:pt>
                      <c:pt idx="212">
                        <c:v>0.33510799078614417</c:v>
                      </c:pt>
                      <c:pt idx="213">
                        <c:v>0.34703551356623419</c:v>
                      </c:pt>
                      <c:pt idx="214">
                        <c:v>0.35256494198216792</c:v>
                      </c:pt>
                      <c:pt idx="215">
                        <c:v>0.3504138095826258</c:v>
                      </c:pt>
                      <c:pt idx="216">
                        <c:v>0.35044709138171803</c:v>
                      </c:pt>
                      <c:pt idx="217">
                        <c:v>0.35109964329366972</c:v>
                      </c:pt>
                      <c:pt idx="218">
                        <c:v>0.35086555509633394</c:v>
                      </c:pt>
                      <c:pt idx="219">
                        <c:v>0.35662740501234796</c:v>
                      </c:pt>
                      <c:pt idx="220">
                        <c:v>0.36611122383187311</c:v>
                      </c:pt>
                      <c:pt idx="221">
                        <c:v>0.37340464881107649</c:v>
                      </c:pt>
                      <c:pt idx="222">
                        <c:v>0.37953192903567373</c:v>
                      </c:pt>
                      <c:pt idx="223">
                        <c:v>0.38392592257312502</c:v>
                      </c:pt>
                      <c:pt idx="224">
                        <c:v>0.38716707699581093</c:v>
                      </c:pt>
                      <c:pt idx="225">
                        <c:v>0.3911686558094396</c:v>
                      </c:pt>
                      <c:pt idx="226">
                        <c:v>0.39366401227093645</c:v>
                      </c:pt>
                      <c:pt idx="227">
                        <c:v>0.39171873893354137</c:v>
                      </c:pt>
                      <c:pt idx="228">
                        <c:v>0.39539879592947408</c:v>
                      </c:pt>
                      <c:pt idx="229">
                        <c:v>0.39365959408292556</c:v>
                      </c:pt>
                      <c:pt idx="230">
                        <c:v>0.39358790564153778</c:v>
                      </c:pt>
                      <c:pt idx="231">
                        <c:v>0.39982805071452865</c:v>
                      </c:pt>
                      <c:pt idx="232">
                        <c:v>0.40390969903420837</c:v>
                      </c:pt>
                      <c:pt idx="233">
                        <c:v>0.40590966842016529</c:v>
                      </c:pt>
                      <c:pt idx="234">
                        <c:v>0.40808673043122851</c:v>
                      </c:pt>
                      <c:pt idx="235">
                        <c:v>0.41188337269549175</c:v>
                      </c:pt>
                      <c:pt idx="236">
                        <c:v>0.41756854823585848</c:v>
                      </c:pt>
                      <c:pt idx="237">
                        <c:v>0.41911462291607199</c:v>
                      </c:pt>
                      <c:pt idx="238">
                        <c:v>0.41573207578487376</c:v>
                      </c:pt>
                      <c:pt idx="239">
                        <c:v>0.41396018151005731</c:v>
                      </c:pt>
                      <c:pt idx="240">
                        <c:v>0.40584167059309284</c:v>
                      </c:pt>
                      <c:pt idx="241">
                        <c:v>0.40782620169181366</c:v>
                      </c:pt>
                      <c:pt idx="242">
                        <c:v>0.41700199873510435</c:v>
                      </c:pt>
                      <c:pt idx="243">
                        <c:v>0.42477122935567879</c:v>
                      </c:pt>
                      <c:pt idx="244">
                        <c:v>0.42780901158597268</c:v>
                      </c:pt>
                      <c:pt idx="245">
                        <c:v>0.4321001299166714</c:v>
                      </c:pt>
                      <c:pt idx="246">
                        <c:v>0.43222054763654472</c:v>
                      </c:pt>
                      <c:pt idx="247">
                        <c:v>0.4341644672510282</c:v>
                      </c:pt>
                      <c:pt idx="248">
                        <c:v>0.44118797663179682</c:v>
                      </c:pt>
                      <c:pt idx="249">
                        <c:v>0.4358419296556007</c:v>
                      </c:pt>
                      <c:pt idx="250">
                        <c:v>0.43339567969913367</c:v>
                      </c:pt>
                      <c:pt idx="251">
                        <c:v>0.43594122296916404</c:v>
                      </c:pt>
                      <c:pt idx="252">
                        <c:v>0.436527130495247</c:v>
                      </c:pt>
                      <c:pt idx="253">
                        <c:v>0.44022333226949717</c:v>
                      </c:pt>
                      <c:pt idx="254">
                        <c:v>0.44226934149880154</c:v>
                      </c:pt>
                      <c:pt idx="255">
                        <c:v>0.44403465726414232</c:v>
                      </c:pt>
                      <c:pt idx="256">
                        <c:v>0.444569667098827</c:v>
                      </c:pt>
                      <c:pt idx="257">
                        <c:v>0.44544621008643276</c:v>
                      </c:pt>
                      <c:pt idx="258">
                        <c:v>0.45057073363049055</c:v>
                      </c:pt>
                      <c:pt idx="259">
                        <c:v>0.44735196420962459</c:v>
                      </c:pt>
                      <c:pt idx="260">
                        <c:v>0.4568554235134118</c:v>
                      </c:pt>
                      <c:pt idx="261">
                        <c:v>0.46263306892419442</c:v>
                      </c:pt>
                      <c:pt idx="262">
                        <c:v>0.46972992951768316</c:v>
                      </c:pt>
                      <c:pt idx="263">
                        <c:v>0.46927442374704381</c:v>
                      </c:pt>
                      <c:pt idx="264">
                        <c:v>0.47075619663860474</c:v>
                      </c:pt>
                      <c:pt idx="265">
                        <c:v>0.46743697777100734</c:v>
                      </c:pt>
                      <c:pt idx="266">
                        <c:v>0.46996728027783818</c:v>
                      </c:pt>
                      <c:pt idx="267">
                        <c:v>0.46539972505479954</c:v>
                      </c:pt>
                      <c:pt idx="268">
                        <c:v>0.46892162160471429</c:v>
                      </c:pt>
                      <c:pt idx="269">
                        <c:v>0.4708959855808964</c:v>
                      </c:pt>
                      <c:pt idx="270">
                        <c:v>0.46549164279231658</c:v>
                      </c:pt>
                      <c:pt idx="271">
                        <c:v>0.46391346599756578</c:v>
                      </c:pt>
                      <c:pt idx="272">
                        <c:v>0.46520435481473804</c:v>
                      </c:pt>
                      <c:pt idx="273">
                        <c:v>0.47776886508260574</c:v>
                      </c:pt>
                      <c:pt idx="274">
                        <c:v>0.47998791026961124</c:v>
                      </c:pt>
                      <c:pt idx="275">
                        <c:v>0.4905945203091539</c:v>
                      </c:pt>
                      <c:pt idx="276">
                        <c:v>0.49133613182865482</c:v>
                      </c:pt>
                      <c:pt idx="277">
                        <c:v>0.49740827445096197</c:v>
                      </c:pt>
                      <c:pt idx="278">
                        <c:v>0.49323974115709002</c:v>
                      </c:pt>
                      <c:pt idx="279">
                        <c:v>0.49054407538625089</c:v>
                      </c:pt>
                      <c:pt idx="280">
                        <c:v>0.48795037848057848</c:v>
                      </c:pt>
                      <c:pt idx="281">
                        <c:v>0.4915438544499286</c:v>
                      </c:pt>
                      <c:pt idx="282">
                        <c:v>0.49380136693287563</c:v>
                      </c:pt>
                      <c:pt idx="283">
                        <c:v>0.4937470853087112</c:v>
                      </c:pt>
                      <c:pt idx="284">
                        <c:v>0.50186898292042059</c:v>
                      </c:pt>
                      <c:pt idx="285">
                        <c:v>0.50144267101852669</c:v>
                      </c:pt>
                      <c:pt idx="286">
                        <c:v>0.50683890339100335</c:v>
                      </c:pt>
                      <c:pt idx="287">
                        <c:v>0.5098443022785617</c:v>
                      </c:pt>
                      <c:pt idx="288">
                        <c:v>0.51987172893865041</c:v>
                      </c:pt>
                      <c:pt idx="289">
                        <c:v>0.5179663864612436</c:v>
                      </c:pt>
                      <c:pt idx="290">
                        <c:v>0.5191668181715634</c:v>
                      </c:pt>
                      <c:pt idx="291">
                        <c:v>0.52247641401106015</c:v>
                      </c:pt>
                      <c:pt idx="292">
                        <c:v>0.52294621487808912</c:v>
                      </c:pt>
                      <c:pt idx="293">
                        <c:v>0.52117152518638021</c:v>
                      </c:pt>
                      <c:pt idx="294">
                        <c:v>0.53396759049500564</c:v>
                      </c:pt>
                      <c:pt idx="295">
                        <c:v>0.53812649395226564</c:v>
                      </c:pt>
                      <c:pt idx="296">
                        <c:v>0.53758368002348844</c:v>
                      </c:pt>
                      <c:pt idx="297">
                        <c:v>0.53694800698713419</c:v>
                      </c:pt>
                      <c:pt idx="298">
                        <c:v>0.53888224364623005</c:v>
                      </c:pt>
                      <c:pt idx="299">
                        <c:v>0.53253620030667759</c:v>
                      </c:pt>
                      <c:pt idx="300">
                        <c:v>0.53856680421709724</c:v>
                      </c:pt>
                      <c:pt idx="301">
                        <c:v>0.53989482942674627</c:v>
                      </c:pt>
                      <c:pt idx="302">
                        <c:v>0.54346260527135415</c:v>
                      </c:pt>
                      <c:pt idx="303">
                        <c:v>0.56057957349955312</c:v>
                      </c:pt>
                      <c:pt idx="304">
                        <c:v>0.55970860055255733</c:v>
                      </c:pt>
                      <c:pt idx="305">
                        <c:v>0.56769545351712258</c:v>
                      </c:pt>
                      <c:pt idx="306">
                        <c:v>0.56936971914085355</c:v>
                      </c:pt>
                      <c:pt idx="307">
                        <c:v>0.56385297248491728</c:v>
                      </c:pt>
                      <c:pt idx="308">
                        <c:v>0.56618297042179655</c:v>
                      </c:pt>
                      <c:pt idx="309">
                        <c:v>0.56514950494864513</c:v>
                      </c:pt>
                      <c:pt idx="310">
                        <c:v>0.56760947148170515</c:v>
                      </c:pt>
                      <c:pt idx="311">
                        <c:v>0.57955588369095923</c:v>
                      </c:pt>
                      <c:pt idx="312">
                        <c:v>0.57596230313650942</c:v>
                      </c:pt>
                      <c:pt idx="313">
                        <c:v>0.58193949676810597</c:v>
                      </c:pt>
                      <c:pt idx="314">
                        <c:v>0.58171981695339015</c:v>
                      </c:pt>
                      <c:pt idx="315">
                        <c:v>0.58189695932715657</c:v>
                      </c:pt>
                      <c:pt idx="316">
                        <c:v>0.59016023186665256</c:v>
                      </c:pt>
                      <c:pt idx="317">
                        <c:v>0.59537734559729083</c:v>
                      </c:pt>
                      <c:pt idx="318">
                        <c:v>0.58086808996224837</c:v>
                      </c:pt>
                      <c:pt idx="319">
                        <c:v>0.58794135273725467</c:v>
                      </c:pt>
                      <c:pt idx="320">
                        <c:v>0.58915706256472478</c:v>
                      </c:pt>
                      <c:pt idx="321">
                        <c:v>0.60323148508645008</c:v>
                      </c:pt>
                      <c:pt idx="322">
                        <c:v>0.60352111152852739</c:v>
                      </c:pt>
                      <c:pt idx="323">
                        <c:v>0.61575973043397603</c:v>
                      </c:pt>
                      <c:pt idx="324">
                        <c:v>0.61359255021250481</c:v>
                      </c:pt>
                      <c:pt idx="325">
                        <c:v>0.61991856018860969</c:v>
                      </c:pt>
                      <c:pt idx="326">
                        <c:v>0.62411668623677785</c:v>
                      </c:pt>
                      <c:pt idx="327">
                        <c:v>0.6185453441782266</c:v>
                      </c:pt>
                      <c:pt idx="328">
                        <c:v>0.62291279548586509</c:v>
                      </c:pt>
                      <c:pt idx="329">
                        <c:v>0.6288739931936711</c:v>
                      </c:pt>
                      <c:pt idx="330">
                        <c:v>0.63101827997944027</c:v>
                      </c:pt>
                      <c:pt idx="331">
                        <c:v>0.63040153708847313</c:v>
                      </c:pt>
                      <c:pt idx="332">
                        <c:v>0.63315462147375567</c:v>
                      </c:pt>
                      <c:pt idx="333">
                        <c:v>0.59106926836765283</c:v>
                      </c:pt>
                      <c:pt idx="334">
                        <c:v>0.51848004938816827</c:v>
                      </c:pt>
                      <c:pt idx="335">
                        <c:v>0.64642836018863492</c:v>
                      </c:pt>
                      <c:pt idx="336">
                        <c:v>0.67262274879333972</c:v>
                      </c:pt>
                      <c:pt idx="337">
                        <c:v>0.69485560041354122</c:v>
                      </c:pt>
                      <c:pt idx="338">
                        <c:v>0.70085721352677555</c:v>
                      </c:pt>
                      <c:pt idx="339">
                        <c:v>0.70473866788424322</c:v>
                      </c:pt>
                      <c:pt idx="340">
                        <c:v>0.68827210042435638</c:v>
                      </c:pt>
                      <c:pt idx="341">
                        <c:v>0.69034232918993921</c:v>
                      </c:pt>
                      <c:pt idx="342">
                        <c:v>0.70477405998555276</c:v>
                      </c:pt>
                      <c:pt idx="343">
                        <c:v>0.72769967951768466</c:v>
                      </c:pt>
                      <c:pt idx="344">
                        <c:v>0.71092384696287103</c:v>
                      </c:pt>
                      <c:pt idx="345">
                        <c:v>0.78461182154247422</c:v>
                      </c:pt>
                      <c:pt idx="346">
                        <c:v>0.77780504298439623</c:v>
                      </c:pt>
                      <c:pt idx="347">
                        <c:v>0.7870281577914191</c:v>
                      </c:pt>
                      <c:pt idx="348">
                        <c:v>0.79905096002153564</c:v>
                      </c:pt>
                      <c:pt idx="349">
                        <c:v>0.7934513592249367</c:v>
                      </c:pt>
                      <c:pt idx="350">
                        <c:v>0.82163689765406267</c:v>
                      </c:pt>
                      <c:pt idx="351">
                        <c:v>0.82375878364621813</c:v>
                      </c:pt>
                      <c:pt idx="352">
                        <c:v>0.83205553316896674</c:v>
                      </c:pt>
                      <c:pt idx="353">
                        <c:v>0.83753128253684794</c:v>
                      </c:pt>
                      <c:pt idx="354">
                        <c:v>0.83340811690151939</c:v>
                      </c:pt>
                      <c:pt idx="355">
                        <c:v>0.85184834084867167</c:v>
                      </c:pt>
                      <c:pt idx="356">
                        <c:v>0.85790366572452292</c:v>
                      </c:pt>
                      <c:pt idx="357">
                        <c:v>0.87418827595230497</c:v>
                      </c:pt>
                      <c:pt idx="358">
                        <c:v>0.88195017364351702</c:v>
                      </c:pt>
                      <c:pt idx="359">
                        <c:v>0.8854585092303946</c:v>
                      </c:pt>
                      <c:pt idx="360">
                        <c:v>0.89717823031194277</c:v>
                      </c:pt>
                      <c:pt idx="361">
                        <c:v>0.89696022350020077</c:v>
                      </c:pt>
                      <c:pt idx="362">
                        <c:v>0.90482361536681566</c:v>
                      </c:pt>
                      <c:pt idx="363">
                        <c:v>0.90535385985911376</c:v>
                      </c:pt>
                      <c:pt idx="364">
                        <c:v>0.91026151944942646</c:v>
                      </c:pt>
                      <c:pt idx="365">
                        <c:v>0.90550796518119958</c:v>
                      </c:pt>
                      <c:pt idx="366">
                        <c:v>0.90154497418923984</c:v>
                      </c:pt>
                      <c:pt idx="367">
                        <c:v>0.91588067080188074</c:v>
                      </c:pt>
                      <c:pt idx="368">
                        <c:v>0.91056257971716503</c:v>
                      </c:pt>
                      <c:pt idx="369">
                        <c:v>0.91014351807956773</c:v>
                      </c:pt>
                      <c:pt idx="370">
                        <c:v>0.9113548786110951</c:v>
                      </c:pt>
                      <c:pt idx="371">
                        <c:v>0.91393225425860314</c:v>
                      </c:pt>
                      <c:pt idx="372">
                        <c:v>0.92084126623720819</c:v>
                      </c:pt>
                      <c:pt idx="373">
                        <c:v>0.91960512922554372</c:v>
                      </c:pt>
                      <c:pt idx="374">
                        <c:v>0.92293365150940065</c:v>
                      </c:pt>
                      <c:pt idx="375">
                        <c:v>0.92697403901436193</c:v>
                      </c:pt>
                      <c:pt idx="376">
                        <c:v>0.9274329257119055</c:v>
                      </c:pt>
                      <c:pt idx="377">
                        <c:v>0.9287320969456323</c:v>
                      </c:pt>
                      <c:pt idx="378">
                        <c:v>0.93059900991854405</c:v>
                      </c:pt>
                      <c:pt idx="379">
                        <c:v>0.93006184490682731</c:v>
                      </c:pt>
                      <c:pt idx="380">
                        <c:v>0.93311908314938974</c:v>
                      </c:pt>
                      <c:pt idx="381">
                        <c:v>0.93305944142047048</c:v>
                      </c:pt>
                      <c:pt idx="382">
                        <c:v>0.93320752018723052</c:v>
                      </c:pt>
                      <c:pt idx="383">
                        <c:v>0.93581957046058961</c:v>
                      </c:pt>
                      <c:pt idx="384">
                        <c:v>0.93556372414096545</c:v>
                      </c:pt>
                      <c:pt idx="385">
                        <c:v>0.94039360474946931</c:v>
                      </c:pt>
                      <c:pt idx="386">
                        <c:v>0.94043365286859104</c:v>
                      </c:pt>
                      <c:pt idx="387">
                        <c:v>0.94425343526349281</c:v>
                      </c:pt>
                      <c:pt idx="388">
                        <c:v>0.94690113333278747</c:v>
                      </c:pt>
                      <c:pt idx="389">
                        <c:v>0.94951959200223324</c:v>
                      </c:pt>
                      <c:pt idx="390">
                        <c:v>0.95300748926783485</c:v>
                      </c:pt>
                      <c:pt idx="391">
                        <c:v>0.95199766648687079</c:v>
                      </c:pt>
                      <c:pt idx="392">
                        <c:v>0.95473055784514482</c:v>
                      </c:pt>
                      <c:pt idx="393">
                        <c:v>0.958374296877471</c:v>
                      </c:pt>
                      <c:pt idx="394">
                        <c:v>0.95889273116691487</c:v>
                      </c:pt>
                      <c:pt idx="395">
                        <c:v>0.95859641247700689</c:v>
                      </c:pt>
                      <c:pt idx="396">
                        <c:v>0.96027921428409657</c:v>
                      </c:pt>
                      <c:pt idx="397">
                        <c:v>0.96212755096291902</c:v>
                      </c:pt>
                      <c:pt idx="398">
                        <c:v>0.964413600748393</c:v>
                      </c:pt>
                      <c:pt idx="399">
                        <c:v>0.96452683531169781</c:v>
                      </c:pt>
                      <c:pt idx="400">
                        <c:v>0.96479022995627517</c:v>
                      </c:pt>
                      <c:pt idx="401">
                        <c:v>0.96717913634347541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E542-4FC2-A1E6-C379A5B1ABBB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FinalData!$J$1</c15:sqref>
                        </c15:formulaRef>
                      </c:ext>
                    </c:extLst>
                    <c:strCache>
                      <c:ptCount val="1"/>
                      <c:pt idx="0">
                        <c:v>Date</c:v>
                      </c:pt>
                    </c:strCache>
                  </c:strRef>
                </c:tx>
                <c:spPr>
                  <a:ln w="317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FinalData!$J$2:$J$403</c15:sqref>
                        </c15:formulaRef>
                      </c:ext>
                    </c:extLst>
                    <c:numCache>
                      <c:formatCode>m/d/yyyy</c:formatCode>
                      <c:ptCount val="402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  <c:pt idx="396">
                        <c:v>45658</c:v>
                      </c:pt>
                      <c:pt idx="397">
                        <c:v>45689</c:v>
                      </c:pt>
                      <c:pt idx="398">
                        <c:v>45717</c:v>
                      </c:pt>
                      <c:pt idx="399">
                        <c:v>45748</c:v>
                      </c:pt>
                      <c:pt idx="400">
                        <c:v>45778</c:v>
                      </c:pt>
                      <c:pt idx="401">
                        <c:v>45809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FinalData!$J$2:$J$403</c15:sqref>
                        </c15:formulaRef>
                      </c:ext>
                    </c:extLst>
                    <c:numCache>
                      <c:formatCode>m/d/yyyy</c:formatCode>
                      <c:ptCount val="402"/>
                      <c:pt idx="0">
                        <c:v>33604</c:v>
                      </c:pt>
                      <c:pt idx="1">
                        <c:v>33635</c:v>
                      </c:pt>
                      <c:pt idx="2">
                        <c:v>33664</c:v>
                      </c:pt>
                      <c:pt idx="3">
                        <c:v>33695</c:v>
                      </c:pt>
                      <c:pt idx="4">
                        <c:v>33725</c:v>
                      </c:pt>
                      <c:pt idx="5">
                        <c:v>33756</c:v>
                      </c:pt>
                      <c:pt idx="6">
                        <c:v>33786</c:v>
                      </c:pt>
                      <c:pt idx="7">
                        <c:v>33817</c:v>
                      </c:pt>
                      <c:pt idx="8">
                        <c:v>33848</c:v>
                      </c:pt>
                      <c:pt idx="9">
                        <c:v>33878</c:v>
                      </c:pt>
                      <c:pt idx="10">
                        <c:v>33909</c:v>
                      </c:pt>
                      <c:pt idx="11">
                        <c:v>33939</c:v>
                      </c:pt>
                      <c:pt idx="12">
                        <c:v>33970</c:v>
                      </c:pt>
                      <c:pt idx="13">
                        <c:v>34001</c:v>
                      </c:pt>
                      <c:pt idx="14">
                        <c:v>34029</c:v>
                      </c:pt>
                      <c:pt idx="15">
                        <c:v>34060</c:v>
                      </c:pt>
                      <c:pt idx="16">
                        <c:v>34090</c:v>
                      </c:pt>
                      <c:pt idx="17">
                        <c:v>34121</c:v>
                      </c:pt>
                      <c:pt idx="18">
                        <c:v>34151</c:v>
                      </c:pt>
                      <c:pt idx="19">
                        <c:v>34182</c:v>
                      </c:pt>
                      <c:pt idx="20">
                        <c:v>34213</c:v>
                      </c:pt>
                      <c:pt idx="21">
                        <c:v>34243</c:v>
                      </c:pt>
                      <c:pt idx="22">
                        <c:v>34274</c:v>
                      </c:pt>
                      <c:pt idx="23">
                        <c:v>34304</c:v>
                      </c:pt>
                      <c:pt idx="24">
                        <c:v>34335</c:v>
                      </c:pt>
                      <c:pt idx="25">
                        <c:v>34366</c:v>
                      </c:pt>
                      <c:pt idx="26">
                        <c:v>34394</c:v>
                      </c:pt>
                      <c:pt idx="27">
                        <c:v>34425</c:v>
                      </c:pt>
                      <c:pt idx="28">
                        <c:v>34455</c:v>
                      </c:pt>
                      <c:pt idx="29">
                        <c:v>34486</c:v>
                      </c:pt>
                      <c:pt idx="30">
                        <c:v>34516</c:v>
                      </c:pt>
                      <c:pt idx="31">
                        <c:v>34547</c:v>
                      </c:pt>
                      <c:pt idx="32">
                        <c:v>34578</c:v>
                      </c:pt>
                      <c:pt idx="33">
                        <c:v>34608</c:v>
                      </c:pt>
                      <c:pt idx="34">
                        <c:v>34639</c:v>
                      </c:pt>
                      <c:pt idx="35">
                        <c:v>34669</c:v>
                      </c:pt>
                      <c:pt idx="36">
                        <c:v>34700</c:v>
                      </c:pt>
                      <c:pt idx="37">
                        <c:v>34731</c:v>
                      </c:pt>
                      <c:pt idx="38">
                        <c:v>34759</c:v>
                      </c:pt>
                      <c:pt idx="39">
                        <c:v>34790</c:v>
                      </c:pt>
                      <c:pt idx="40">
                        <c:v>34820</c:v>
                      </c:pt>
                      <c:pt idx="41">
                        <c:v>34851</c:v>
                      </c:pt>
                      <c:pt idx="42">
                        <c:v>34881</c:v>
                      </c:pt>
                      <c:pt idx="43">
                        <c:v>34912</c:v>
                      </c:pt>
                      <c:pt idx="44">
                        <c:v>34943</c:v>
                      </c:pt>
                      <c:pt idx="45">
                        <c:v>34973</c:v>
                      </c:pt>
                      <c:pt idx="46">
                        <c:v>35004</c:v>
                      </c:pt>
                      <c:pt idx="47">
                        <c:v>35034</c:v>
                      </c:pt>
                      <c:pt idx="48">
                        <c:v>35065</c:v>
                      </c:pt>
                      <c:pt idx="49">
                        <c:v>35096</c:v>
                      </c:pt>
                      <c:pt idx="50">
                        <c:v>35125</c:v>
                      </c:pt>
                      <c:pt idx="51">
                        <c:v>35156</c:v>
                      </c:pt>
                      <c:pt idx="52">
                        <c:v>35186</c:v>
                      </c:pt>
                      <c:pt idx="53">
                        <c:v>35217</c:v>
                      </c:pt>
                      <c:pt idx="54">
                        <c:v>35247</c:v>
                      </c:pt>
                      <c:pt idx="55">
                        <c:v>35278</c:v>
                      </c:pt>
                      <c:pt idx="56">
                        <c:v>35309</c:v>
                      </c:pt>
                      <c:pt idx="57">
                        <c:v>35339</c:v>
                      </c:pt>
                      <c:pt idx="58">
                        <c:v>35370</c:v>
                      </c:pt>
                      <c:pt idx="59">
                        <c:v>35400</c:v>
                      </c:pt>
                      <c:pt idx="60">
                        <c:v>35431</c:v>
                      </c:pt>
                      <c:pt idx="61">
                        <c:v>35462</c:v>
                      </c:pt>
                      <c:pt idx="62">
                        <c:v>35490</c:v>
                      </c:pt>
                      <c:pt idx="63">
                        <c:v>35521</c:v>
                      </c:pt>
                      <c:pt idx="64">
                        <c:v>35551</c:v>
                      </c:pt>
                      <c:pt idx="65">
                        <c:v>35582</c:v>
                      </c:pt>
                      <c:pt idx="66">
                        <c:v>35612</c:v>
                      </c:pt>
                      <c:pt idx="67">
                        <c:v>35643</c:v>
                      </c:pt>
                      <c:pt idx="68">
                        <c:v>35674</c:v>
                      </c:pt>
                      <c:pt idx="69">
                        <c:v>35704</c:v>
                      </c:pt>
                      <c:pt idx="70">
                        <c:v>35735</c:v>
                      </c:pt>
                      <c:pt idx="71">
                        <c:v>35765</c:v>
                      </c:pt>
                      <c:pt idx="72">
                        <c:v>35796</c:v>
                      </c:pt>
                      <c:pt idx="73">
                        <c:v>35827</c:v>
                      </c:pt>
                      <c:pt idx="74">
                        <c:v>35855</c:v>
                      </c:pt>
                      <c:pt idx="75">
                        <c:v>35886</c:v>
                      </c:pt>
                      <c:pt idx="76">
                        <c:v>35916</c:v>
                      </c:pt>
                      <c:pt idx="77">
                        <c:v>35947</c:v>
                      </c:pt>
                      <c:pt idx="78">
                        <c:v>35977</c:v>
                      </c:pt>
                      <c:pt idx="79">
                        <c:v>36008</c:v>
                      </c:pt>
                      <c:pt idx="80">
                        <c:v>36039</c:v>
                      </c:pt>
                      <c:pt idx="81">
                        <c:v>36069</c:v>
                      </c:pt>
                      <c:pt idx="82">
                        <c:v>36100</c:v>
                      </c:pt>
                      <c:pt idx="83">
                        <c:v>36130</c:v>
                      </c:pt>
                      <c:pt idx="84">
                        <c:v>36161</c:v>
                      </c:pt>
                      <c:pt idx="85">
                        <c:v>36192</c:v>
                      </c:pt>
                      <c:pt idx="86">
                        <c:v>36220</c:v>
                      </c:pt>
                      <c:pt idx="87">
                        <c:v>36251</c:v>
                      </c:pt>
                      <c:pt idx="88">
                        <c:v>36281</c:v>
                      </c:pt>
                      <c:pt idx="89">
                        <c:v>36312</c:v>
                      </c:pt>
                      <c:pt idx="90">
                        <c:v>36342</c:v>
                      </c:pt>
                      <c:pt idx="91">
                        <c:v>36373</c:v>
                      </c:pt>
                      <c:pt idx="92">
                        <c:v>36404</c:v>
                      </c:pt>
                      <c:pt idx="93">
                        <c:v>36434</c:v>
                      </c:pt>
                      <c:pt idx="94">
                        <c:v>36465</c:v>
                      </c:pt>
                      <c:pt idx="95">
                        <c:v>36495</c:v>
                      </c:pt>
                      <c:pt idx="96">
                        <c:v>36526</c:v>
                      </c:pt>
                      <c:pt idx="97">
                        <c:v>36557</c:v>
                      </c:pt>
                      <c:pt idx="98">
                        <c:v>36586</c:v>
                      </c:pt>
                      <c:pt idx="99">
                        <c:v>36617</c:v>
                      </c:pt>
                      <c:pt idx="100">
                        <c:v>36647</c:v>
                      </c:pt>
                      <c:pt idx="101">
                        <c:v>36678</c:v>
                      </c:pt>
                      <c:pt idx="102">
                        <c:v>36708</c:v>
                      </c:pt>
                      <c:pt idx="103">
                        <c:v>36739</c:v>
                      </c:pt>
                      <c:pt idx="104">
                        <c:v>36770</c:v>
                      </c:pt>
                      <c:pt idx="105">
                        <c:v>36800</c:v>
                      </c:pt>
                      <c:pt idx="106">
                        <c:v>36831</c:v>
                      </c:pt>
                      <c:pt idx="107">
                        <c:v>36861</c:v>
                      </c:pt>
                      <c:pt idx="108">
                        <c:v>36892</c:v>
                      </c:pt>
                      <c:pt idx="109">
                        <c:v>36923</c:v>
                      </c:pt>
                      <c:pt idx="110">
                        <c:v>36951</c:v>
                      </c:pt>
                      <c:pt idx="111">
                        <c:v>36982</c:v>
                      </c:pt>
                      <c:pt idx="112">
                        <c:v>37012</c:v>
                      </c:pt>
                      <c:pt idx="113">
                        <c:v>37043</c:v>
                      </c:pt>
                      <c:pt idx="114">
                        <c:v>37073</c:v>
                      </c:pt>
                      <c:pt idx="115">
                        <c:v>37104</c:v>
                      </c:pt>
                      <c:pt idx="116">
                        <c:v>37135</c:v>
                      </c:pt>
                      <c:pt idx="117">
                        <c:v>37165</c:v>
                      </c:pt>
                      <c:pt idx="118">
                        <c:v>37196</c:v>
                      </c:pt>
                      <c:pt idx="119">
                        <c:v>37226</c:v>
                      </c:pt>
                      <c:pt idx="120">
                        <c:v>37257</c:v>
                      </c:pt>
                      <c:pt idx="121">
                        <c:v>37288</c:v>
                      </c:pt>
                      <c:pt idx="122">
                        <c:v>37316</c:v>
                      </c:pt>
                      <c:pt idx="123">
                        <c:v>37347</c:v>
                      </c:pt>
                      <c:pt idx="124">
                        <c:v>37377</c:v>
                      </c:pt>
                      <c:pt idx="125">
                        <c:v>37408</c:v>
                      </c:pt>
                      <c:pt idx="126">
                        <c:v>37438</c:v>
                      </c:pt>
                      <c:pt idx="127">
                        <c:v>37469</c:v>
                      </c:pt>
                      <c:pt idx="128">
                        <c:v>37500</c:v>
                      </c:pt>
                      <c:pt idx="129">
                        <c:v>37530</c:v>
                      </c:pt>
                      <c:pt idx="130">
                        <c:v>37561</c:v>
                      </c:pt>
                      <c:pt idx="131">
                        <c:v>37591</c:v>
                      </c:pt>
                      <c:pt idx="132">
                        <c:v>37622</c:v>
                      </c:pt>
                      <c:pt idx="133">
                        <c:v>37653</c:v>
                      </c:pt>
                      <c:pt idx="134">
                        <c:v>37681</c:v>
                      </c:pt>
                      <c:pt idx="135">
                        <c:v>37712</c:v>
                      </c:pt>
                      <c:pt idx="136">
                        <c:v>37742</c:v>
                      </c:pt>
                      <c:pt idx="137">
                        <c:v>37773</c:v>
                      </c:pt>
                      <c:pt idx="138">
                        <c:v>37803</c:v>
                      </c:pt>
                      <c:pt idx="139">
                        <c:v>37834</c:v>
                      </c:pt>
                      <c:pt idx="140">
                        <c:v>37865</c:v>
                      </c:pt>
                      <c:pt idx="141">
                        <c:v>37895</c:v>
                      </c:pt>
                      <c:pt idx="142">
                        <c:v>37926</c:v>
                      </c:pt>
                      <c:pt idx="143">
                        <c:v>37956</c:v>
                      </c:pt>
                      <c:pt idx="144">
                        <c:v>37987</c:v>
                      </c:pt>
                      <c:pt idx="145">
                        <c:v>38018</c:v>
                      </c:pt>
                      <c:pt idx="146">
                        <c:v>38047</c:v>
                      </c:pt>
                      <c:pt idx="147">
                        <c:v>38078</c:v>
                      </c:pt>
                      <c:pt idx="148">
                        <c:v>38108</c:v>
                      </c:pt>
                      <c:pt idx="149">
                        <c:v>38139</c:v>
                      </c:pt>
                      <c:pt idx="150">
                        <c:v>38169</c:v>
                      </c:pt>
                      <c:pt idx="151">
                        <c:v>38200</c:v>
                      </c:pt>
                      <c:pt idx="152">
                        <c:v>38231</c:v>
                      </c:pt>
                      <c:pt idx="153">
                        <c:v>38261</c:v>
                      </c:pt>
                      <c:pt idx="154">
                        <c:v>38292</c:v>
                      </c:pt>
                      <c:pt idx="155">
                        <c:v>38322</c:v>
                      </c:pt>
                      <c:pt idx="156">
                        <c:v>38353</c:v>
                      </c:pt>
                      <c:pt idx="157">
                        <c:v>38384</c:v>
                      </c:pt>
                      <c:pt idx="158">
                        <c:v>38412</c:v>
                      </c:pt>
                      <c:pt idx="159">
                        <c:v>38443</c:v>
                      </c:pt>
                      <c:pt idx="160">
                        <c:v>38473</c:v>
                      </c:pt>
                      <c:pt idx="161">
                        <c:v>38504</c:v>
                      </c:pt>
                      <c:pt idx="162">
                        <c:v>38534</c:v>
                      </c:pt>
                      <c:pt idx="163">
                        <c:v>38565</c:v>
                      </c:pt>
                      <c:pt idx="164">
                        <c:v>38596</c:v>
                      </c:pt>
                      <c:pt idx="165">
                        <c:v>38626</c:v>
                      </c:pt>
                      <c:pt idx="166">
                        <c:v>38657</c:v>
                      </c:pt>
                      <c:pt idx="167">
                        <c:v>38687</c:v>
                      </c:pt>
                      <c:pt idx="168">
                        <c:v>38718</c:v>
                      </c:pt>
                      <c:pt idx="169">
                        <c:v>38749</c:v>
                      </c:pt>
                      <c:pt idx="170">
                        <c:v>38777</c:v>
                      </c:pt>
                      <c:pt idx="171">
                        <c:v>38808</c:v>
                      </c:pt>
                      <c:pt idx="172">
                        <c:v>38838</c:v>
                      </c:pt>
                      <c:pt idx="173">
                        <c:v>38869</c:v>
                      </c:pt>
                      <c:pt idx="174">
                        <c:v>38899</c:v>
                      </c:pt>
                      <c:pt idx="175">
                        <c:v>38930</c:v>
                      </c:pt>
                      <c:pt idx="176">
                        <c:v>38961</c:v>
                      </c:pt>
                      <c:pt idx="177">
                        <c:v>38991</c:v>
                      </c:pt>
                      <c:pt idx="178">
                        <c:v>39022</c:v>
                      </c:pt>
                      <c:pt idx="179">
                        <c:v>39052</c:v>
                      </c:pt>
                      <c:pt idx="180">
                        <c:v>39083</c:v>
                      </c:pt>
                      <c:pt idx="181">
                        <c:v>39114</c:v>
                      </c:pt>
                      <c:pt idx="182">
                        <c:v>39142</c:v>
                      </c:pt>
                      <c:pt idx="183">
                        <c:v>39173</c:v>
                      </c:pt>
                      <c:pt idx="184">
                        <c:v>39203</c:v>
                      </c:pt>
                      <c:pt idx="185">
                        <c:v>39234</c:v>
                      </c:pt>
                      <c:pt idx="186">
                        <c:v>39264</c:v>
                      </c:pt>
                      <c:pt idx="187">
                        <c:v>39295</c:v>
                      </c:pt>
                      <c:pt idx="188">
                        <c:v>39326</c:v>
                      </c:pt>
                      <c:pt idx="189">
                        <c:v>39356</c:v>
                      </c:pt>
                      <c:pt idx="190">
                        <c:v>39387</c:v>
                      </c:pt>
                      <c:pt idx="191">
                        <c:v>39417</c:v>
                      </c:pt>
                      <c:pt idx="192">
                        <c:v>39448</c:v>
                      </c:pt>
                      <c:pt idx="193">
                        <c:v>39479</c:v>
                      </c:pt>
                      <c:pt idx="194">
                        <c:v>39508</c:v>
                      </c:pt>
                      <c:pt idx="195">
                        <c:v>39539</c:v>
                      </c:pt>
                      <c:pt idx="196">
                        <c:v>39569</c:v>
                      </c:pt>
                      <c:pt idx="197">
                        <c:v>39600</c:v>
                      </c:pt>
                      <c:pt idx="198">
                        <c:v>39630</c:v>
                      </c:pt>
                      <c:pt idx="199">
                        <c:v>39661</c:v>
                      </c:pt>
                      <c:pt idx="200">
                        <c:v>39692</c:v>
                      </c:pt>
                      <c:pt idx="201">
                        <c:v>39722</c:v>
                      </c:pt>
                      <c:pt idx="202">
                        <c:v>39753</c:v>
                      </c:pt>
                      <c:pt idx="203">
                        <c:v>39783</c:v>
                      </c:pt>
                      <c:pt idx="204">
                        <c:v>39814</c:v>
                      </c:pt>
                      <c:pt idx="205">
                        <c:v>39845</c:v>
                      </c:pt>
                      <c:pt idx="206">
                        <c:v>39873</c:v>
                      </c:pt>
                      <c:pt idx="207">
                        <c:v>39904</c:v>
                      </c:pt>
                      <c:pt idx="208">
                        <c:v>39934</c:v>
                      </c:pt>
                      <c:pt idx="209">
                        <c:v>39965</c:v>
                      </c:pt>
                      <c:pt idx="210">
                        <c:v>39995</c:v>
                      </c:pt>
                      <c:pt idx="211">
                        <c:v>40026</c:v>
                      </c:pt>
                      <c:pt idx="212">
                        <c:v>40057</c:v>
                      </c:pt>
                      <c:pt idx="213">
                        <c:v>40087</c:v>
                      </c:pt>
                      <c:pt idx="214">
                        <c:v>40118</c:v>
                      </c:pt>
                      <c:pt idx="215">
                        <c:v>40148</c:v>
                      </c:pt>
                      <c:pt idx="216">
                        <c:v>40179</c:v>
                      </c:pt>
                      <c:pt idx="217">
                        <c:v>40210</c:v>
                      </c:pt>
                      <c:pt idx="218">
                        <c:v>40238</c:v>
                      </c:pt>
                      <c:pt idx="219">
                        <c:v>40269</c:v>
                      </c:pt>
                      <c:pt idx="220">
                        <c:v>40299</c:v>
                      </c:pt>
                      <c:pt idx="221">
                        <c:v>40330</c:v>
                      </c:pt>
                      <c:pt idx="222">
                        <c:v>40360</c:v>
                      </c:pt>
                      <c:pt idx="223">
                        <c:v>40391</c:v>
                      </c:pt>
                      <c:pt idx="224">
                        <c:v>40422</c:v>
                      </c:pt>
                      <c:pt idx="225">
                        <c:v>40452</c:v>
                      </c:pt>
                      <c:pt idx="226">
                        <c:v>40483</c:v>
                      </c:pt>
                      <c:pt idx="227">
                        <c:v>40513</c:v>
                      </c:pt>
                      <c:pt idx="228">
                        <c:v>40544</c:v>
                      </c:pt>
                      <c:pt idx="229">
                        <c:v>40575</c:v>
                      </c:pt>
                      <c:pt idx="230">
                        <c:v>40603</c:v>
                      </c:pt>
                      <c:pt idx="231">
                        <c:v>40634</c:v>
                      </c:pt>
                      <c:pt idx="232">
                        <c:v>40664</c:v>
                      </c:pt>
                      <c:pt idx="233">
                        <c:v>40695</c:v>
                      </c:pt>
                      <c:pt idx="234">
                        <c:v>40725</c:v>
                      </c:pt>
                      <c:pt idx="235">
                        <c:v>40756</c:v>
                      </c:pt>
                      <c:pt idx="236">
                        <c:v>40787</c:v>
                      </c:pt>
                      <c:pt idx="237">
                        <c:v>40817</c:v>
                      </c:pt>
                      <c:pt idx="238">
                        <c:v>40848</c:v>
                      </c:pt>
                      <c:pt idx="239">
                        <c:v>40878</c:v>
                      </c:pt>
                      <c:pt idx="240">
                        <c:v>40909</c:v>
                      </c:pt>
                      <c:pt idx="241">
                        <c:v>40940</c:v>
                      </c:pt>
                      <c:pt idx="242">
                        <c:v>40969</c:v>
                      </c:pt>
                      <c:pt idx="243">
                        <c:v>41000</c:v>
                      </c:pt>
                      <c:pt idx="244">
                        <c:v>41030</c:v>
                      </c:pt>
                      <c:pt idx="245">
                        <c:v>41061</c:v>
                      </c:pt>
                      <c:pt idx="246">
                        <c:v>41091</c:v>
                      </c:pt>
                      <c:pt idx="247">
                        <c:v>41122</c:v>
                      </c:pt>
                      <c:pt idx="248">
                        <c:v>41153</c:v>
                      </c:pt>
                      <c:pt idx="249">
                        <c:v>41183</c:v>
                      </c:pt>
                      <c:pt idx="250">
                        <c:v>41214</c:v>
                      </c:pt>
                      <c:pt idx="251">
                        <c:v>41244</c:v>
                      </c:pt>
                      <c:pt idx="252">
                        <c:v>41275</c:v>
                      </c:pt>
                      <c:pt idx="253">
                        <c:v>41306</c:v>
                      </c:pt>
                      <c:pt idx="254">
                        <c:v>41334</c:v>
                      </c:pt>
                      <c:pt idx="255">
                        <c:v>41365</c:v>
                      </c:pt>
                      <c:pt idx="256">
                        <c:v>41395</c:v>
                      </c:pt>
                      <c:pt idx="257">
                        <c:v>41426</c:v>
                      </c:pt>
                      <c:pt idx="258">
                        <c:v>41456</c:v>
                      </c:pt>
                      <c:pt idx="259">
                        <c:v>41487</c:v>
                      </c:pt>
                      <c:pt idx="260">
                        <c:v>41518</c:v>
                      </c:pt>
                      <c:pt idx="261">
                        <c:v>41548</c:v>
                      </c:pt>
                      <c:pt idx="262">
                        <c:v>41579</c:v>
                      </c:pt>
                      <c:pt idx="263">
                        <c:v>41609</c:v>
                      </c:pt>
                      <c:pt idx="264">
                        <c:v>41640</c:v>
                      </c:pt>
                      <c:pt idx="265">
                        <c:v>41671</c:v>
                      </c:pt>
                      <c:pt idx="266">
                        <c:v>41699</c:v>
                      </c:pt>
                      <c:pt idx="267">
                        <c:v>41730</c:v>
                      </c:pt>
                      <c:pt idx="268">
                        <c:v>41760</c:v>
                      </c:pt>
                      <c:pt idx="269">
                        <c:v>41791</c:v>
                      </c:pt>
                      <c:pt idx="270">
                        <c:v>41821</c:v>
                      </c:pt>
                      <c:pt idx="271">
                        <c:v>41852</c:v>
                      </c:pt>
                      <c:pt idx="272">
                        <c:v>41883</c:v>
                      </c:pt>
                      <c:pt idx="273">
                        <c:v>41913</c:v>
                      </c:pt>
                      <c:pt idx="274">
                        <c:v>41944</c:v>
                      </c:pt>
                      <c:pt idx="275">
                        <c:v>41974</c:v>
                      </c:pt>
                      <c:pt idx="276">
                        <c:v>42005</c:v>
                      </c:pt>
                      <c:pt idx="277">
                        <c:v>42036</c:v>
                      </c:pt>
                      <c:pt idx="278">
                        <c:v>42064</c:v>
                      </c:pt>
                      <c:pt idx="279">
                        <c:v>42095</c:v>
                      </c:pt>
                      <c:pt idx="280">
                        <c:v>42125</c:v>
                      </c:pt>
                      <c:pt idx="281">
                        <c:v>42156</c:v>
                      </c:pt>
                      <c:pt idx="282">
                        <c:v>42186</c:v>
                      </c:pt>
                      <c:pt idx="283">
                        <c:v>42217</c:v>
                      </c:pt>
                      <c:pt idx="284">
                        <c:v>42248</c:v>
                      </c:pt>
                      <c:pt idx="285">
                        <c:v>42278</c:v>
                      </c:pt>
                      <c:pt idx="286">
                        <c:v>42309</c:v>
                      </c:pt>
                      <c:pt idx="287">
                        <c:v>42339</c:v>
                      </c:pt>
                      <c:pt idx="288">
                        <c:v>42370</c:v>
                      </c:pt>
                      <c:pt idx="289">
                        <c:v>42401</c:v>
                      </c:pt>
                      <c:pt idx="290">
                        <c:v>42430</c:v>
                      </c:pt>
                      <c:pt idx="291">
                        <c:v>42461</c:v>
                      </c:pt>
                      <c:pt idx="292">
                        <c:v>42491</c:v>
                      </c:pt>
                      <c:pt idx="293">
                        <c:v>42522</c:v>
                      </c:pt>
                      <c:pt idx="294">
                        <c:v>42552</c:v>
                      </c:pt>
                      <c:pt idx="295">
                        <c:v>42583</c:v>
                      </c:pt>
                      <c:pt idx="296">
                        <c:v>42614</c:v>
                      </c:pt>
                      <c:pt idx="297">
                        <c:v>42644</c:v>
                      </c:pt>
                      <c:pt idx="298">
                        <c:v>42675</c:v>
                      </c:pt>
                      <c:pt idx="299">
                        <c:v>42705</c:v>
                      </c:pt>
                      <c:pt idx="300">
                        <c:v>42736</c:v>
                      </c:pt>
                      <c:pt idx="301">
                        <c:v>42767</c:v>
                      </c:pt>
                      <c:pt idx="302">
                        <c:v>42795</c:v>
                      </c:pt>
                      <c:pt idx="303">
                        <c:v>42826</c:v>
                      </c:pt>
                      <c:pt idx="304">
                        <c:v>42856</c:v>
                      </c:pt>
                      <c:pt idx="305">
                        <c:v>42887</c:v>
                      </c:pt>
                      <c:pt idx="306">
                        <c:v>42917</c:v>
                      </c:pt>
                      <c:pt idx="307">
                        <c:v>42948</c:v>
                      </c:pt>
                      <c:pt idx="308">
                        <c:v>42979</c:v>
                      </c:pt>
                      <c:pt idx="309">
                        <c:v>43009</c:v>
                      </c:pt>
                      <c:pt idx="310">
                        <c:v>43040</c:v>
                      </c:pt>
                      <c:pt idx="311">
                        <c:v>43070</c:v>
                      </c:pt>
                      <c:pt idx="312">
                        <c:v>43101</c:v>
                      </c:pt>
                      <c:pt idx="313">
                        <c:v>43132</c:v>
                      </c:pt>
                      <c:pt idx="314">
                        <c:v>43160</c:v>
                      </c:pt>
                      <c:pt idx="315">
                        <c:v>43191</c:v>
                      </c:pt>
                      <c:pt idx="316">
                        <c:v>43221</c:v>
                      </c:pt>
                      <c:pt idx="317">
                        <c:v>43252</c:v>
                      </c:pt>
                      <c:pt idx="318">
                        <c:v>43282</c:v>
                      </c:pt>
                      <c:pt idx="319">
                        <c:v>43313</c:v>
                      </c:pt>
                      <c:pt idx="320">
                        <c:v>43344</c:v>
                      </c:pt>
                      <c:pt idx="321">
                        <c:v>43374</c:v>
                      </c:pt>
                      <c:pt idx="322">
                        <c:v>43405</c:v>
                      </c:pt>
                      <c:pt idx="323">
                        <c:v>43435</c:v>
                      </c:pt>
                      <c:pt idx="324">
                        <c:v>43466</c:v>
                      </c:pt>
                      <c:pt idx="325">
                        <c:v>43497</c:v>
                      </c:pt>
                      <c:pt idx="326">
                        <c:v>43525</c:v>
                      </c:pt>
                      <c:pt idx="327">
                        <c:v>43556</c:v>
                      </c:pt>
                      <c:pt idx="328">
                        <c:v>43586</c:v>
                      </c:pt>
                      <c:pt idx="329">
                        <c:v>43617</c:v>
                      </c:pt>
                      <c:pt idx="330">
                        <c:v>43647</c:v>
                      </c:pt>
                      <c:pt idx="331">
                        <c:v>43678</c:v>
                      </c:pt>
                      <c:pt idx="332">
                        <c:v>43709</c:v>
                      </c:pt>
                      <c:pt idx="333">
                        <c:v>43739</c:v>
                      </c:pt>
                      <c:pt idx="334">
                        <c:v>43770</c:v>
                      </c:pt>
                      <c:pt idx="335">
                        <c:v>43800</c:v>
                      </c:pt>
                      <c:pt idx="336">
                        <c:v>43831</c:v>
                      </c:pt>
                      <c:pt idx="337">
                        <c:v>43862</c:v>
                      </c:pt>
                      <c:pt idx="338">
                        <c:v>43891</c:v>
                      </c:pt>
                      <c:pt idx="339">
                        <c:v>43922</c:v>
                      </c:pt>
                      <c:pt idx="340">
                        <c:v>43952</c:v>
                      </c:pt>
                      <c:pt idx="341">
                        <c:v>43983</c:v>
                      </c:pt>
                      <c:pt idx="342">
                        <c:v>44013</c:v>
                      </c:pt>
                      <c:pt idx="343">
                        <c:v>44044</c:v>
                      </c:pt>
                      <c:pt idx="344">
                        <c:v>44075</c:v>
                      </c:pt>
                      <c:pt idx="345">
                        <c:v>44105</c:v>
                      </c:pt>
                      <c:pt idx="346">
                        <c:v>44136</c:v>
                      </c:pt>
                      <c:pt idx="347">
                        <c:v>44166</c:v>
                      </c:pt>
                      <c:pt idx="348">
                        <c:v>44197</c:v>
                      </c:pt>
                      <c:pt idx="349">
                        <c:v>44228</c:v>
                      </c:pt>
                      <c:pt idx="350">
                        <c:v>44256</c:v>
                      </c:pt>
                      <c:pt idx="351">
                        <c:v>44287</c:v>
                      </c:pt>
                      <c:pt idx="352">
                        <c:v>44317</c:v>
                      </c:pt>
                      <c:pt idx="353">
                        <c:v>44348</c:v>
                      </c:pt>
                      <c:pt idx="354">
                        <c:v>44378</c:v>
                      </c:pt>
                      <c:pt idx="355">
                        <c:v>44409</c:v>
                      </c:pt>
                      <c:pt idx="356">
                        <c:v>44440</c:v>
                      </c:pt>
                      <c:pt idx="357">
                        <c:v>44470</c:v>
                      </c:pt>
                      <c:pt idx="358">
                        <c:v>44501</c:v>
                      </c:pt>
                      <c:pt idx="359">
                        <c:v>44531</c:v>
                      </c:pt>
                      <c:pt idx="360">
                        <c:v>44562</c:v>
                      </c:pt>
                      <c:pt idx="361">
                        <c:v>44593</c:v>
                      </c:pt>
                      <c:pt idx="362">
                        <c:v>44621</c:v>
                      </c:pt>
                      <c:pt idx="363">
                        <c:v>44652</c:v>
                      </c:pt>
                      <c:pt idx="364">
                        <c:v>44682</c:v>
                      </c:pt>
                      <c:pt idx="365">
                        <c:v>44713</c:v>
                      </c:pt>
                      <c:pt idx="366">
                        <c:v>44743</c:v>
                      </c:pt>
                      <c:pt idx="367">
                        <c:v>44774</c:v>
                      </c:pt>
                      <c:pt idx="368">
                        <c:v>44805</c:v>
                      </c:pt>
                      <c:pt idx="369">
                        <c:v>44835</c:v>
                      </c:pt>
                      <c:pt idx="370">
                        <c:v>44866</c:v>
                      </c:pt>
                      <c:pt idx="371">
                        <c:v>44896</c:v>
                      </c:pt>
                      <c:pt idx="372">
                        <c:v>44927</c:v>
                      </c:pt>
                      <c:pt idx="373">
                        <c:v>44958</c:v>
                      </c:pt>
                      <c:pt idx="374">
                        <c:v>44986</c:v>
                      </c:pt>
                      <c:pt idx="375">
                        <c:v>45017</c:v>
                      </c:pt>
                      <c:pt idx="376">
                        <c:v>45047</c:v>
                      </c:pt>
                      <c:pt idx="377">
                        <c:v>45078</c:v>
                      </c:pt>
                      <c:pt idx="378">
                        <c:v>45108</c:v>
                      </c:pt>
                      <c:pt idx="379">
                        <c:v>45139</c:v>
                      </c:pt>
                      <c:pt idx="380">
                        <c:v>45170</c:v>
                      </c:pt>
                      <c:pt idx="381">
                        <c:v>45200</c:v>
                      </c:pt>
                      <c:pt idx="382">
                        <c:v>45231</c:v>
                      </c:pt>
                      <c:pt idx="383">
                        <c:v>45261</c:v>
                      </c:pt>
                      <c:pt idx="384">
                        <c:v>45292</c:v>
                      </c:pt>
                      <c:pt idx="385">
                        <c:v>45323</c:v>
                      </c:pt>
                      <c:pt idx="386">
                        <c:v>45352</c:v>
                      </c:pt>
                      <c:pt idx="387">
                        <c:v>45383</c:v>
                      </c:pt>
                      <c:pt idx="388">
                        <c:v>45413</c:v>
                      </c:pt>
                      <c:pt idx="389">
                        <c:v>45444</c:v>
                      </c:pt>
                      <c:pt idx="390">
                        <c:v>45474</c:v>
                      </c:pt>
                      <c:pt idx="391">
                        <c:v>45505</c:v>
                      </c:pt>
                      <c:pt idx="392">
                        <c:v>45536</c:v>
                      </c:pt>
                      <c:pt idx="393">
                        <c:v>45566</c:v>
                      </c:pt>
                      <c:pt idx="394">
                        <c:v>45597</c:v>
                      </c:pt>
                      <c:pt idx="395">
                        <c:v>45627</c:v>
                      </c:pt>
                      <c:pt idx="396">
                        <c:v>45658</c:v>
                      </c:pt>
                      <c:pt idx="397">
                        <c:v>45689</c:v>
                      </c:pt>
                      <c:pt idx="398">
                        <c:v>45717</c:v>
                      </c:pt>
                      <c:pt idx="399">
                        <c:v>45748</c:v>
                      </c:pt>
                      <c:pt idx="400">
                        <c:v>45778</c:v>
                      </c:pt>
                      <c:pt idx="401">
                        <c:v>45809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E542-4FC2-A1E6-C379A5B1ABBB}"/>
                  </c:ext>
                </c:extLst>
              </c15:ser>
            </c15:filteredLineSeries>
          </c:ext>
        </c:extLst>
      </c:lineChart>
      <c:dateAx>
        <c:axId val="8883712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372719"/>
        <c:crosses val="autoZero"/>
        <c:auto val="1"/>
        <c:lblOffset val="100"/>
        <c:baseTimeUnit val="months"/>
      </c:dateAx>
      <c:valAx>
        <c:axId val="888372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37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361950</xdr:colOff>
          <xdr:row>2</xdr:row>
          <xdr:rowOff>95250</xdr:rowOff>
        </xdr:from>
        <xdr:to>
          <xdr:col>13</xdr:col>
          <xdr:colOff>1743075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Predictions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390523</xdr:colOff>
      <xdr:row>11</xdr:row>
      <xdr:rowOff>161925</xdr:rowOff>
    </xdr:from>
    <xdr:to>
      <xdr:col>26</xdr:col>
      <xdr:colOff>104775</xdr:colOff>
      <xdr:row>37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AB2268-64EE-4E40-4A88-333EAFB16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149C1C-6AC0-4D9C-B083-9639CC3A4234}" name="Table1" displayName="Table1" ref="A1:B409" totalsRowShown="0">
  <autoFilter ref="A1:B409" xr:uid="{BC149C1C-6AC0-4D9C-B083-9639CC3A4234}"/>
  <tableColumns count="2">
    <tableColumn id="1" xr3:uid="{883AAC1A-9961-44FF-9172-AAFB78EC984C}" name="observation_date" dataDxfId="8"/>
    <tableColumn id="2" xr3:uid="{A5067365-5F77-4589-9080-A0F9EE239861}" name="RSXF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2879535-C37B-4189-882D-A3DD3F1DB761}" name="Table3" displayName="Table3" ref="A1:L403" totalsRowShown="0" headerRowDxfId="3" headerRowBorderDxfId="4" tableBorderDxfId="15">
  <autoFilter ref="A1:L403" xr:uid="{A2879535-C37B-4189-882D-A3DD3F1DB761}"/>
  <tableColumns count="12">
    <tableColumn id="1" xr3:uid="{F9B953E2-2D12-468C-B73B-376CC7D81C54}" name="observation_date" dataDxfId="14">
      <calculatedColumnFormula>NormData!A8</calculatedColumnFormula>
    </tableColumn>
    <tableColumn id="3" xr3:uid="{D84221BB-985E-49A6-B8B0-752CECB93477}" name="Lag6" dataDxfId="13">
      <calculatedColumnFormula>NormData!B2</calculatedColumnFormula>
    </tableColumn>
    <tableColumn id="4" xr3:uid="{7CC999D0-09BC-41F0-847F-A34CD329CCB4}" name="Lag5" dataDxfId="12">
      <calculatedColumnFormula>NormData!B3</calculatedColumnFormula>
    </tableColumn>
    <tableColumn id="5" xr3:uid="{D510474E-B779-4FED-9F0B-43B0B605DD0E}" name="Lag4" dataDxfId="11">
      <calculatedColumnFormula>NormData!B4</calculatedColumnFormula>
    </tableColumn>
    <tableColumn id="6" xr3:uid="{190BAECD-2AA3-413E-A45B-F8C7BF1FA091}" name="Lag3" dataDxfId="10">
      <calculatedColumnFormula>NormData!B5</calculatedColumnFormula>
    </tableColumn>
    <tableColumn id="7" xr3:uid="{5CABDBBC-803A-4292-B793-A311E4D876F4}" name="Lag2" dataDxfId="9">
      <calculatedColumnFormula>NormData!B6</calculatedColumnFormula>
    </tableColumn>
    <tableColumn id="8" xr3:uid="{383A3C50-15E7-424A-9B75-3847AB7FFF70}" name="Lag1" dataDxfId="6">
      <calculatedColumnFormula>NormData!B7</calculatedColumnFormula>
    </tableColumn>
    <tableColumn id="2" xr3:uid="{B0801C97-7462-4D40-B94A-2F3435396A84}" name="TgtAmount" dataDxfId="5">
      <calculatedColumnFormula>NormData!B8</calculatedColumnFormula>
    </tableColumn>
    <tableColumn id="9" xr3:uid="{993BE17C-FB7B-4A56-A43B-BB3FD1A3B82A}" name="Prediction" dataDxfId="0"/>
    <tableColumn id="12" xr3:uid="{CCC87BCB-C0C4-424F-892C-6EBA1E942137}" name="Date" dataDxfId="1"/>
    <tableColumn id="10" xr3:uid="{BE35EF05-BF29-47FA-A7BB-568C89144D60}" name="Monthly US Retail Sales in Millions (Actual)" dataDxfId="2" dataCellStyle="Currency">
      <calculatedColumnFormula>Table3[[#This Row],[TgtAmount]] * (MAX(Table1[RSXFS]) - MIN(RawData!B:B)) +MIN(Table1[RSXFS])</calculatedColumnFormula>
    </tableColumn>
    <tableColumn id="11" xr3:uid="{A22F3FEB-0F1B-4B56-96F1-1CE0E05F9856}" name="Monthly US Retail Sales in Millions (Predicted)" dataDxfId="7" dataCellStyle="Currency">
      <calculatedColumnFormula>Table3[[#This Row],[Prediction]] * (MAX(Table1[RSXFS]) - MIN(RawData!B:B)) +MIN(Table1[RSXFS])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4A5F5-57BD-4942-9FD9-CE702AC60ABB}">
  <sheetPr codeName="Sheet1"/>
  <dimension ref="A1:B409"/>
  <sheetViews>
    <sheetView topLeftCell="A374" workbookViewId="0">
      <selection activeCell="A2" sqref="A2:A409"/>
    </sheetView>
  </sheetViews>
  <sheetFormatPr defaultRowHeight="15" x14ac:dyDescent="0.25"/>
  <cols>
    <col min="1" max="1" width="18.7109375" customWidth="1"/>
  </cols>
  <sheetData>
    <row r="1" spans="1:2" x14ac:dyDescent="0.25">
      <c r="A1" t="s">
        <v>0</v>
      </c>
      <c r="B1" t="s">
        <v>1</v>
      </c>
    </row>
    <row r="2" spans="1:2" x14ac:dyDescent="0.25">
      <c r="A2" s="1">
        <v>33604</v>
      </c>
      <c r="B2">
        <v>142419</v>
      </c>
    </row>
    <row r="3" spans="1:2" x14ac:dyDescent="0.25">
      <c r="A3" s="1">
        <v>33635</v>
      </c>
      <c r="B3">
        <v>142584</v>
      </c>
    </row>
    <row r="4" spans="1:2" x14ac:dyDescent="0.25">
      <c r="A4" s="1">
        <v>33664</v>
      </c>
      <c r="B4">
        <v>142120</v>
      </c>
    </row>
    <row r="5" spans="1:2" x14ac:dyDescent="0.25">
      <c r="A5" s="1">
        <v>33695</v>
      </c>
      <c r="B5">
        <v>143659</v>
      </c>
    </row>
    <row r="6" spans="1:2" x14ac:dyDescent="0.25">
      <c r="A6" s="1">
        <v>33725</v>
      </c>
      <c r="B6">
        <v>144239</v>
      </c>
    </row>
    <row r="7" spans="1:2" x14ac:dyDescent="0.25">
      <c r="A7" s="1">
        <v>33756</v>
      </c>
      <c r="B7">
        <v>145273</v>
      </c>
    </row>
    <row r="8" spans="1:2" x14ac:dyDescent="0.25">
      <c r="A8" s="1">
        <v>33786</v>
      </c>
      <c r="B8">
        <v>146743</v>
      </c>
    </row>
    <row r="9" spans="1:2" x14ac:dyDescent="0.25">
      <c r="A9" s="1">
        <v>33817</v>
      </c>
      <c r="B9">
        <v>146070</v>
      </c>
    </row>
    <row r="10" spans="1:2" x14ac:dyDescent="0.25">
      <c r="A10" s="1">
        <v>33848</v>
      </c>
      <c r="B10">
        <v>147932</v>
      </c>
    </row>
    <row r="11" spans="1:2" x14ac:dyDescent="0.25">
      <c r="A11" s="1">
        <v>33878</v>
      </c>
      <c r="B11">
        <v>149346</v>
      </c>
    </row>
    <row r="12" spans="1:2" x14ac:dyDescent="0.25">
      <c r="A12" s="1">
        <v>33909</v>
      </c>
      <c r="B12">
        <v>149131</v>
      </c>
    </row>
    <row r="13" spans="1:2" x14ac:dyDescent="0.25">
      <c r="A13" s="1">
        <v>33939</v>
      </c>
      <c r="B13">
        <v>150578</v>
      </c>
    </row>
    <row r="14" spans="1:2" x14ac:dyDescent="0.25">
      <c r="A14" s="1">
        <v>33970</v>
      </c>
      <c r="B14">
        <v>152329</v>
      </c>
    </row>
    <row r="15" spans="1:2" x14ac:dyDescent="0.25">
      <c r="A15" s="1">
        <v>34001</v>
      </c>
      <c r="B15">
        <v>151742</v>
      </c>
    </row>
    <row r="16" spans="1:2" x14ac:dyDescent="0.25">
      <c r="A16" s="1">
        <v>34029</v>
      </c>
      <c r="B16">
        <v>150525</v>
      </c>
    </row>
    <row r="17" spans="1:2" x14ac:dyDescent="0.25">
      <c r="A17" s="1">
        <v>34060</v>
      </c>
      <c r="B17">
        <v>154720</v>
      </c>
    </row>
    <row r="18" spans="1:2" x14ac:dyDescent="0.25">
      <c r="A18" s="1">
        <v>34090</v>
      </c>
      <c r="B18">
        <v>155537</v>
      </c>
    </row>
    <row r="19" spans="1:2" x14ac:dyDescent="0.25">
      <c r="A19" s="1">
        <v>34121</v>
      </c>
      <c r="B19">
        <v>155353</v>
      </c>
    </row>
    <row r="20" spans="1:2" x14ac:dyDescent="0.25">
      <c r="A20" s="1">
        <v>34151</v>
      </c>
      <c r="B20">
        <v>158267</v>
      </c>
    </row>
    <row r="21" spans="1:2" x14ac:dyDescent="0.25">
      <c r="A21" s="1">
        <v>34182</v>
      </c>
      <c r="B21">
        <v>157425</v>
      </c>
    </row>
    <row r="22" spans="1:2" x14ac:dyDescent="0.25">
      <c r="A22" s="1">
        <v>34213</v>
      </c>
      <c r="B22">
        <v>158535</v>
      </c>
    </row>
    <row r="23" spans="1:2" x14ac:dyDescent="0.25">
      <c r="A23" s="1">
        <v>34243</v>
      </c>
      <c r="B23">
        <v>159773</v>
      </c>
    </row>
    <row r="24" spans="1:2" x14ac:dyDescent="0.25">
      <c r="A24" s="1">
        <v>34274</v>
      </c>
      <c r="B24">
        <v>162004</v>
      </c>
    </row>
    <row r="25" spans="1:2" x14ac:dyDescent="0.25">
      <c r="A25" s="1">
        <v>34304</v>
      </c>
      <c r="B25">
        <v>163258</v>
      </c>
    </row>
    <row r="26" spans="1:2" x14ac:dyDescent="0.25">
      <c r="A26" s="1">
        <v>34335</v>
      </c>
      <c r="B26">
        <v>162369</v>
      </c>
    </row>
    <row r="27" spans="1:2" x14ac:dyDescent="0.25">
      <c r="A27" s="1">
        <v>34366</v>
      </c>
      <c r="B27">
        <v>165075</v>
      </c>
    </row>
    <row r="28" spans="1:2" x14ac:dyDescent="0.25">
      <c r="A28" s="1">
        <v>34394</v>
      </c>
      <c r="B28">
        <v>168330</v>
      </c>
    </row>
    <row r="29" spans="1:2" x14ac:dyDescent="0.25">
      <c r="A29" s="1">
        <v>34425</v>
      </c>
      <c r="B29">
        <v>168262</v>
      </c>
    </row>
    <row r="30" spans="1:2" x14ac:dyDescent="0.25">
      <c r="A30" s="1">
        <v>34455</v>
      </c>
      <c r="B30">
        <v>167412</v>
      </c>
    </row>
    <row r="31" spans="1:2" x14ac:dyDescent="0.25">
      <c r="A31" s="1">
        <v>34486</v>
      </c>
      <c r="B31">
        <v>169337</v>
      </c>
    </row>
    <row r="32" spans="1:2" x14ac:dyDescent="0.25">
      <c r="A32" s="1">
        <v>34516</v>
      </c>
      <c r="B32">
        <v>169514</v>
      </c>
    </row>
    <row r="33" spans="1:2" x14ac:dyDescent="0.25">
      <c r="A33" s="1">
        <v>34547</v>
      </c>
      <c r="B33">
        <v>172332</v>
      </c>
    </row>
    <row r="34" spans="1:2" x14ac:dyDescent="0.25">
      <c r="A34" s="1">
        <v>34578</v>
      </c>
      <c r="B34">
        <v>174018</v>
      </c>
    </row>
    <row r="35" spans="1:2" x14ac:dyDescent="0.25">
      <c r="A35" s="1">
        <v>34608</v>
      </c>
      <c r="B35">
        <v>175309</v>
      </c>
    </row>
    <row r="36" spans="1:2" x14ac:dyDescent="0.25">
      <c r="A36" s="1">
        <v>34639</v>
      </c>
      <c r="B36">
        <v>175761</v>
      </c>
    </row>
    <row r="37" spans="1:2" x14ac:dyDescent="0.25">
      <c r="A37" s="1">
        <v>34669</v>
      </c>
      <c r="B37">
        <v>176168</v>
      </c>
    </row>
    <row r="38" spans="1:2" x14ac:dyDescent="0.25">
      <c r="A38" s="1">
        <v>34700</v>
      </c>
      <c r="B38">
        <v>177136</v>
      </c>
    </row>
    <row r="39" spans="1:2" x14ac:dyDescent="0.25">
      <c r="A39" s="1">
        <v>34731</v>
      </c>
      <c r="B39">
        <v>174560</v>
      </c>
    </row>
    <row r="40" spans="1:2" x14ac:dyDescent="0.25">
      <c r="A40" s="1">
        <v>34759</v>
      </c>
      <c r="B40">
        <v>176376</v>
      </c>
    </row>
    <row r="41" spans="1:2" x14ac:dyDescent="0.25">
      <c r="A41" s="1">
        <v>34790</v>
      </c>
      <c r="B41">
        <v>176353</v>
      </c>
    </row>
    <row r="42" spans="1:2" x14ac:dyDescent="0.25">
      <c r="A42" s="1">
        <v>34820</v>
      </c>
      <c r="B42">
        <v>179020</v>
      </c>
    </row>
    <row r="43" spans="1:2" x14ac:dyDescent="0.25">
      <c r="A43" s="1">
        <v>34851</v>
      </c>
      <c r="B43">
        <v>181382</v>
      </c>
    </row>
    <row r="44" spans="1:2" x14ac:dyDescent="0.25">
      <c r="A44" s="1">
        <v>34881</v>
      </c>
      <c r="B44">
        <v>180019</v>
      </c>
    </row>
    <row r="45" spans="1:2" x14ac:dyDescent="0.25">
      <c r="A45" s="1">
        <v>34912</v>
      </c>
      <c r="B45">
        <v>181787</v>
      </c>
    </row>
    <row r="46" spans="1:2" x14ac:dyDescent="0.25">
      <c r="A46" s="1">
        <v>34943</v>
      </c>
      <c r="B46">
        <v>182074</v>
      </c>
    </row>
    <row r="47" spans="1:2" x14ac:dyDescent="0.25">
      <c r="A47" s="1">
        <v>34973</v>
      </c>
      <c r="B47">
        <v>181411</v>
      </c>
    </row>
    <row r="48" spans="1:2" x14ac:dyDescent="0.25">
      <c r="A48" s="1">
        <v>35004</v>
      </c>
      <c r="B48">
        <v>184327</v>
      </c>
    </row>
    <row r="49" spans="1:2" x14ac:dyDescent="0.25">
      <c r="A49" s="1">
        <v>35034</v>
      </c>
      <c r="B49">
        <v>184841</v>
      </c>
    </row>
    <row r="50" spans="1:2" x14ac:dyDescent="0.25">
      <c r="A50" s="1">
        <v>35065</v>
      </c>
      <c r="B50">
        <v>184636</v>
      </c>
    </row>
    <row r="51" spans="1:2" x14ac:dyDescent="0.25">
      <c r="A51" s="1">
        <v>35096</v>
      </c>
      <c r="B51">
        <v>187576</v>
      </c>
    </row>
    <row r="52" spans="1:2" x14ac:dyDescent="0.25">
      <c r="A52" s="1">
        <v>35125</v>
      </c>
      <c r="B52">
        <v>188237</v>
      </c>
    </row>
    <row r="53" spans="1:2" x14ac:dyDescent="0.25">
      <c r="A53" s="1">
        <v>35156</v>
      </c>
      <c r="B53">
        <v>189778</v>
      </c>
    </row>
    <row r="54" spans="1:2" x14ac:dyDescent="0.25">
      <c r="A54" s="1">
        <v>35186</v>
      </c>
      <c r="B54">
        <v>191544</v>
      </c>
    </row>
    <row r="55" spans="1:2" x14ac:dyDescent="0.25">
      <c r="A55" s="1">
        <v>35217</v>
      </c>
      <c r="B55">
        <v>189960</v>
      </c>
    </row>
    <row r="56" spans="1:2" x14ac:dyDescent="0.25">
      <c r="A56" s="1">
        <v>35247</v>
      </c>
      <c r="B56">
        <v>191113</v>
      </c>
    </row>
    <row r="57" spans="1:2" x14ac:dyDescent="0.25">
      <c r="A57" s="1">
        <v>35278</v>
      </c>
      <c r="B57">
        <v>191139</v>
      </c>
    </row>
    <row r="58" spans="1:2" x14ac:dyDescent="0.25">
      <c r="A58" s="1">
        <v>35309</v>
      </c>
      <c r="B58">
        <v>193303</v>
      </c>
    </row>
    <row r="59" spans="1:2" x14ac:dyDescent="0.25">
      <c r="A59" s="1">
        <v>35339</v>
      </c>
      <c r="B59">
        <v>195420</v>
      </c>
    </row>
    <row r="60" spans="1:2" x14ac:dyDescent="0.25">
      <c r="A60" s="1">
        <v>35370</v>
      </c>
      <c r="B60">
        <v>194860</v>
      </c>
    </row>
    <row r="61" spans="1:2" x14ac:dyDescent="0.25">
      <c r="A61" s="1">
        <v>35400</v>
      </c>
      <c r="B61">
        <v>195318</v>
      </c>
    </row>
    <row r="62" spans="1:2" x14ac:dyDescent="0.25">
      <c r="A62" s="1">
        <v>35431</v>
      </c>
      <c r="B62">
        <v>197447</v>
      </c>
    </row>
    <row r="63" spans="1:2" x14ac:dyDescent="0.25">
      <c r="A63" s="1">
        <v>35462</v>
      </c>
      <c r="B63">
        <v>198891</v>
      </c>
    </row>
    <row r="64" spans="1:2" x14ac:dyDescent="0.25">
      <c r="A64" s="1">
        <v>35490</v>
      </c>
      <c r="B64">
        <v>200352</v>
      </c>
    </row>
    <row r="65" spans="1:2" x14ac:dyDescent="0.25">
      <c r="A65" s="1">
        <v>35521</v>
      </c>
      <c r="B65">
        <v>197212</v>
      </c>
    </row>
    <row r="66" spans="1:2" x14ac:dyDescent="0.25">
      <c r="A66" s="1">
        <v>35551</v>
      </c>
      <c r="B66">
        <v>196937</v>
      </c>
    </row>
    <row r="67" spans="1:2" x14ac:dyDescent="0.25">
      <c r="A67" s="1">
        <v>35582</v>
      </c>
      <c r="B67">
        <v>199311</v>
      </c>
    </row>
    <row r="68" spans="1:2" x14ac:dyDescent="0.25">
      <c r="A68" s="1">
        <v>35612</v>
      </c>
      <c r="B68">
        <v>201751</v>
      </c>
    </row>
    <row r="69" spans="1:2" x14ac:dyDescent="0.25">
      <c r="A69" s="1">
        <v>35643</v>
      </c>
      <c r="B69">
        <v>201892</v>
      </c>
    </row>
    <row r="70" spans="1:2" x14ac:dyDescent="0.25">
      <c r="A70" s="1">
        <v>35674</v>
      </c>
      <c r="B70">
        <v>202992</v>
      </c>
    </row>
    <row r="71" spans="1:2" x14ac:dyDescent="0.25">
      <c r="A71" s="1">
        <v>35704</v>
      </c>
      <c r="B71">
        <v>203055</v>
      </c>
    </row>
    <row r="72" spans="1:2" x14ac:dyDescent="0.25">
      <c r="A72" s="1">
        <v>35735</v>
      </c>
      <c r="B72">
        <v>202778</v>
      </c>
    </row>
    <row r="73" spans="1:2" x14ac:dyDescent="0.25">
      <c r="A73" s="1">
        <v>35765</v>
      </c>
      <c r="B73">
        <v>203837</v>
      </c>
    </row>
    <row r="74" spans="1:2" x14ac:dyDescent="0.25">
      <c r="A74" s="1">
        <v>35796</v>
      </c>
      <c r="B74">
        <v>204505</v>
      </c>
    </row>
    <row r="75" spans="1:2" x14ac:dyDescent="0.25">
      <c r="A75" s="1">
        <v>35827</v>
      </c>
      <c r="B75">
        <v>204207</v>
      </c>
    </row>
    <row r="76" spans="1:2" x14ac:dyDescent="0.25">
      <c r="A76" s="1">
        <v>35855</v>
      </c>
      <c r="B76">
        <v>205311</v>
      </c>
    </row>
    <row r="77" spans="1:2" x14ac:dyDescent="0.25">
      <c r="A77" s="1">
        <v>35886</v>
      </c>
      <c r="B77">
        <v>208683</v>
      </c>
    </row>
    <row r="78" spans="1:2" x14ac:dyDescent="0.25">
      <c r="A78" s="1">
        <v>35916</v>
      </c>
      <c r="B78">
        <v>209165</v>
      </c>
    </row>
    <row r="79" spans="1:2" x14ac:dyDescent="0.25">
      <c r="A79" s="1">
        <v>35947</v>
      </c>
      <c r="B79">
        <v>211222</v>
      </c>
    </row>
    <row r="80" spans="1:2" x14ac:dyDescent="0.25">
      <c r="A80" s="1">
        <v>35977</v>
      </c>
      <c r="B80">
        <v>209658</v>
      </c>
    </row>
    <row r="81" spans="1:2" x14ac:dyDescent="0.25">
      <c r="A81" s="1">
        <v>36008</v>
      </c>
      <c r="B81">
        <v>207737</v>
      </c>
    </row>
    <row r="82" spans="1:2" x14ac:dyDescent="0.25">
      <c r="A82" s="1">
        <v>36039</v>
      </c>
      <c r="B82">
        <v>210112</v>
      </c>
    </row>
    <row r="83" spans="1:2" x14ac:dyDescent="0.25">
      <c r="A83" s="1">
        <v>36069</v>
      </c>
      <c r="B83">
        <v>213794</v>
      </c>
    </row>
    <row r="84" spans="1:2" x14ac:dyDescent="0.25">
      <c r="A84" s="1">
        <v>36100</v>
      </c>
      <c r="B84">
        <v>215194</v>
      </c>
    </row>
    <row r="85" spans="1:2" x14ac:dyDescent="0.25">
      <c r="A85" s="1">
        <v>36130</v>
      </c>
      <c r="B85">
        <v>217396</v>
      </c>
    </row>
    <row r="86" spans="1:2" x14ac:dyDescent="0.25">
      <c r="A86" s="1">
        <v>36161</v>
      </c>
      <c r="B86">
        <v>217930</v>
      </c>
    </row>
    <row r="87" spans="1:2" x14ac:dyDescent="0.25">
      <c r="A87" s="1">
        <v>36192</v>
      </c>
      <c r="B87">
        <v>220769</v>
      </c>
    </row>
    <row r="88" spans="1:2" x14ac:dyDescent="0.25">
      <c r="A88" s="1">
        <v>36220</v>
      </c>
      <c r="B88">
        <v>222199</v>
      </c>
    </row>
    <row r="89" spans="1:2" x14ac:dyDescent="0.25">
      <c r="A89" s="1">
        <v>36251</v>
      </c>
      <c r="B89">
        <v>223837</v>
      </c>
    </row>
    <row r="90" spans="1:2" x14ac:dyDescent="0.25">
      <c r="A90" s="1">
        <v>36281</v>
      </c>
      <c r="B90">
        <v>225577</v>
      </c>
    </row>
    <row r="91" spans="1:2" x14ac:dyDescent="0.25">
      <c r="A91" s="1">
        <v>36312</v>
      </c>
      <c r="B91">
        <v>226474</v>
      </c>
    </row>
    <row r="92" spans="1:2" x14ac:dyDescent="0.25">
      <c r="A92" s="1">
        <v>36342</v>
      </c>
      <c r="B92">
        <v>228424</v>
      </c>
    </row>
    <row r="93" spans="1:2" x14ac:dyDescent="0.25">
      <c r="A93" s="1">
        <v>36373</v>
      </c>
      <c r="B93">
        <v>230902</v>
      </c>
    </row>
    <row r="94" spans="1:2" x14ac:dyDescent="0.25">
      <c r="A94" s="1">
        <v>36404</v>
      </c>
      <c r="B94">
        <v>231912</v>
      </c>
    </row>
    <row r="95" spans="1:2" x14ac:dyDescent="0.25">
      <c r="A95" s="1">
        <v>36434</v>
      </c>
      <c r="B95">
        <v>231254</v>
      </c>
    </row>
    <row r="96" spans="1:2" x14ac:dyDescent="0.25">
      <c r="A96" s="1">
        <v>36465</v>
      </c>
      <c r="B96">
        <v>234425</v>
      </c>
    </row>
    <row r="97" spans="1:2" x14ac:dyDescent="0.25">
      <c r="A97" s="1">
        <v>36495</v>
      </c>
      <c r="B97">
        <v>239589</v>
      </c>
    </row>
    <row r="98" spans="1:2" x14ac:dyDescent="0.25">
      <c r="A98" s="1">
        <v>36526</v>
      </c>
      <c r="B98">
        <v>237541</v>
      </c>
    </row>
    <row r="99" spans="1:2" x14ac:dyDescent="0.25">
      <c r="A99" s="1">
        <v>36557</v>
      </c>
      <c r="B99">
        <v>241541</v>
      </c>
    </row>
    <row r="100" spans="1:2" x14ac:dyDescent="0.25">
      <c r="A100" s="1">
        <v>36586</v>
      </c>
      <c r="B100">
        <v>244533</v>
      </c>
    </row>
    <row r="101" spans="1:2" x14ac:dyDescent="0.25">
      <c r="A101" s="1">
        <v>36617</v>
      </c>
      <c r="B101">
        <v>239552</v>
      </c>
    </row>
    <row r="102" spans="1:2" x14ac:dyDescent="0.25">
      <c r="A102" s="1">
        <v>36647</v>
      </c>
      <c r="B102">
        <v>241546</v>
      </c>
    </row>
    <row r="103" spans="1:2" x14ac:dyDescent="0.25">
      <c r="A103" s="1">
        <v>36678</v>
      </c>
      <c r="B103">
        <v>243226</v>
      </c>
    </row>
    <row r="104" spans="1:2" x14ac:dyDescent="0.25">
      <c r="A104" s="1">
        <v>36708</v>
      </c>
      <c r="B104">
        <v>240979</v>
      </c>
    </row>
    <row r="105" spans="1:2" x14ac:dyDescent="0.25">
      <c r="A105" s="1">
        <v>36739</v>
      </c>
      <c r="B105">
        <v>242318</v>
      </c>
    </row>
    <row r="106" spans="1:2" x14ac:dyDescent="0.25">
      <c r="A106" s="1">
        <v>36770</v>
      </c>
      <c r="B106">
        <v>245520</v>
      </c>
    </row>
    <row r="107" spans="1:2" x14ac:dyDescent="0.25">
      <c r="A107" s="1">
        <v>36800</v>
      </c>
      <c r="B107">
        <v>245399</v>
      </c>
    </row>
    <row r="108" spans="1:2" x14ac:dyDescent="0.25">
      <c r="A108" s="1">
        <v>36831</v>
      </c>
      <c r="B108">
        <v>243846</v>
      </c>
    </row>
    <row r="109" spans="1:2" x14ac:dyDescent="0.25">
      <c r="A109" s="1">
        <v>36861</v>
      </c>
      <c r="B109">
        <v>243844</v>
      </c>
    </row>
    <row r="110" spans="1:2" x14ac:dyDescent="0.25">
      <c r="A110" s="1">
        <v>36892</v>
      </c>
      <c r="B110">
        <v>247339</v>
      </c>
    </row>
    <row r="111" spans="1:2" x14ac:dyDescent="0.25">
      <c r="A111" s="1">
        <v>36923</v>
      </c>
      <c r="B111">
        <v>247289</v>
      </c>
    </row>
    <row r="112" spans="1:2" x14ac:dyDescent="0.25">
      <c r="A112" s="1">
        <v>36951</v>
      </c>
      <c r="B112">
        <v>244514</v>
      </c>
    </row>
    <row r="113" spans="1:2" x14ac:dyDescent="0.25">
      <c r="A113" s="1">
        <v>36982</v>
      </c>
      <c r="B113">
        <v>249113</v>
      </c>
    </row>
    <row r="114" spans="1:2" x14ac:dyDescent="0.25">
      <c r="A114" s="1">
        <v>37012</v>
      </c>
      <c r="B114">
        <v>250250</v>
      </c>
    </row>
    <row r="115" spans="1:2" x14ac:dyDescent="0.25">
      <c r="A115" s="1">
        <v>37043</v>
      </c>
      <c r="B115">
        <v>248836</v>
      </c>
    </row>
    <row r="116" spans="1:2" x14ac:dyDescent="0.25">
      <c r="A116" s="1">
        <v>37073</v>
      </c>
      <c r="B116">
        <v>247336</v>
      </c>
    </row>
    <row r="117" spans="1:2" x14ac:dyDescent="0.25">
      <c r="A117" s="1">
        <v>37104</v>
      </c>
      <c r="B117">
        <v>249590</v>
      </c>
    </row>
    <row r="118" spans="1:2" x14ac:dyDescent="0.25">
      <c r="A118" s="1">
        <v>37135</v>
      </c>
      <c r="B118">
        <v>243130</v>
      </c>
    </row>
    <row r="119" spans="1:2" x14ac:dyDescent="0.25">
      <c r="A119" s="1">
        <v>37165</v>
      </c>
      <c r="B119">
        <v>262862</v>
      </c>
    </row>
    <row r="120" spans="1:2" x14ac:dyDescent="0.25">
      <c r="A120" s="1">
        <v>37196</v>
      </c>
      <c r="B120">
        <v>254084</v>
      </c>
    </row>
    <row r="121" spans="1:2" x14ac:dyDescent="0.25">
      <c r="A121" s="1">
        <v>37226</v>
      </c>
      <c r="B121">
        <v>249879</v>
      </c>
    </row>
    <row r="122" spans="1:2" x14ac:dyDescent="0.25">
      <c r="A122" s="1">
        <v>37257</v>
      </c>
      <c r="B122">
        <v>250603</v>
      </c>
    </row>
    <row r="123" spans="1:2" x14ac:dyDescent="0.25">
      <c r="A123" s="1">
        <v>37288</v>
      </c>
      <c r="B123">
        <v>252279</v>
      </c>
    </row>
    <row r="124" spans="1:2" x14ac:dyDescent="0.25">
      <c r="A124" s="1">
        <v>37316</v>
      </c>
      <c r="B124">
        <v>251542</v>
      </c>
    </row>
    <row r="125" spans="1:2" x14ac:dyDescent="0.25">
      <c r="A125" s="1">
        <v>37347</v>
      </c>
      <c r="B125">
        <v>254543</v>
      </c>
    </row>
    <row r="126" spans="1:2" x14ac:dyDescent="0.25">
      <c r="A126" s="1">
        <v>37377</v>
      </c>
      <c r="B126">
        <v>252390</v>
      </c>
    </row>
    <row r="127" spans="1:2" x14ac:dyDescent="0.25">
      <c r="A127" s="1">
        <v>37408</v>
      </c>
      <c r="B127">
        <v>253652</v>
      </c>
    </row>
    <row r="128" spans="1:2" x14ac:dyDescent="0.25">
      <c r="A128" s="1">
        <v>37438</v>
      </c>
      <c r="B128">
        <v>257339</v>
      </c>
    </row>
    <row r="129" spans="1:2" x14ac:dyDescent="0.25">
      <c r="A129" s="1">
        <v>37469</v>
      </c>
      <c r="B129">
        <v>259050</v>
      </c>
    </row>
    <row r="130" spans="1:2" x14ac:dyDescent="0.25">
      <c r="A130" s="1">
        <v>37500</v>
      </c>
      <c r="B130">
        <v>254081</v>
      </c>
    </row>
    <row r="131" spans="1:2" x14ac:dyDescent="0.25">
      <c r="A131" s="1">
        <v>37530</v>
      </c>
      <c r="B131">
        <v>256131</v>
      </c>
    </row>
    <row r="132" spans="1:2" x14ac:dyDescent="0.25">
      <c r="A132" s="1">
        <v>37561</v>
      </c>
      <c r="B132">
        <v>256350</v>
      </c>
    </row>
    <row r="133" spans="1:2" x14ac:dyDescent="0.25">
      <c r="A133" s="1">
        <v>37591</v>
      </c>
      <c r="B133">
        <v>259206</v>
      </c>
    </row>
    <row r="134" spans="1:2" x14ac:dyDescent="0.25">
      <c r="A134" s="1">
        <v>37622</v>
      </c>
      <c r="B134">
        <v>261394</v>
      </c>
    </row>
    <row r="135" spans="1:2" x14ac:dyDescent="0.25">
      <c r="A135" s="1">
        <v>37653</v>
      </c>
      <c r="B135">
        <v>257531</v>
      </c>
    </row>
    <row r="136" spans="1:2" x14ac:dyDescent="0.25">
      <c r="A136" s="1">
        <v>37681</v>
      </c>
      <c r="B136">
        <v>260566</v>
      </c>
    </row>
    <row r="137" spans="1:2" x14ac:dyDescent="0.25">
      <c r="A137" s="1">
        <v>37712</v>
      </c>
      <c r="B137">
        <v>261375</v>
      </c>
    </row>
    <row r="138" spans="1:2" x14ac:dyDescent="0.25">
      <c r="A138" s="1">
        <v>37742</v>
      </c>
      <c r="B138">
        <v>261392</v>
      </c>
    </row>
    <row r="139" spans="1:2" x14ac:dyDescent="0.25">
      <c r="A139" s="1">
        <v>37773</v>
      </c>
      <c r="B139">
        <v>265331</v>
      </c>
    </row>
    <row r="140" spans="1:2" x14ac:dyDescent="0.25">
      <c r="A140" s="1">
        <v>37803</v>
      </c>
      <c r="B140">
        <v>267683</v>
      </c>
    </row>
    <row r="141" spans="1:2" x14ac:dyDescent="0.25">
      <c r="A141" s="1">
        <v>37834</v>
      </c>
      <c r="B141">
        <v>270612</v>
      </c>
    </row>
    <row r="142" spans="1:2" x14ac:dyDescent="0.25">
      <c r="A142" s="1">
        <v>37865</v>
      </c>
      <c r="B142">
        <v>270212</v>
      </c>
    </row>
    <row r="143" spans="1:2" x14ac:dyDescent="0.25">
      <c r="A143" s="1">
        <v>37895</v>
      </c>
      <c r="B143">
        <v>269060</v>
      </c>
    </row>
    <row r="144" spans="1:2" x14ac:dyDescent="0.25">
      <c r="A144" s="1">
        <v>37926</v>
      </c>
      <c r="B144">
        <v>270161</v>
      </c>
    </row>
    <row r="145" spans="1:2" x14ac:dyDescent="0.25">
      <c r="A145" s="1">
        <v>37956</v>
      </c>
      <c r="B145">
        <v>271550</v>
      </c>
    </row>
    <row r="146" spans="1:2" x14ac:dyDescent="0.25">
      <c r="A146" s="1">
        <v>37987</v>
      </c>
      <c r="B146">
        <v>272465</v>
      </c>
    </row>
    <row r="147" spans="1:2" x14ac:dyDescent="0.25">
      <c r="A147" s="1">
        <v>38018</v>
      </c>
      <c r="B147">
        <v>274360</v>
      </c>
    </row>
    <row r="148" spans="1:2" x14ac:dyDescent="0.25">
      <c r="A148" s="1">
        <v>38047</v>
      </c>
      <c r="B148">
        <v>279692</v>
      </c>
    </row>
    <row r="149" spans="1:2" x14ac:dyDescent="0.25">
      <c r="A149" s="1">
        <v>38078</v>
      </c>
      <c r="B149">
        <v>277625</v>
      </c>
    </row>
    <row r="150" spans="1:2" x14ac:dyDescent="0.25">
      <c r="A150" s="1">
        <v>38108</v>
      </c>
      <c r="B150">
        <v>281281</v>
      </c>
    </row>
    <row r="151" spans="1:2" x14ac:dyDescent="0.25">
      <c r="A151" s="1">
        <v>38139</v>
      </c>
      <c r="B151">
        <v>279141</v>
      </c>
    </row>
    <row r="152" spans="1:2" x14ac:dyDescent="0.25">
      <c r="A152" s="1">
        <v>38169</v>
      </c>
      <c r="B152">
        <v>281350</v>
      </c>
    </row>
    <row r="153" spans="1:2" x14ac:dyDescent="0.25">
      <c r="A153" s="1">
        <v>38200</v>
      </c>
      <c r="B153">
        <v>281006</v>
      </c>
    </row>
    <row r="154" spans="1:2" x14ac:dyDescent="0.25">
      <c r="A154" s="1">
        <v>38231</v>
      </c>
      <c r="B154">
        <v>286866</v>
      </c>
    </row>
    <row r="155" spans="1:2" x14ac:dyDescent="0.25">
      <c r="A155" s="1">
        <v>38261</v>
      </c>
      <c r="B155">
        <v>287700</v>
      </c>
    </row>
    <row r="156" spans="1:2" x14ac:dyDescent="0.25">
      <c r="A156" s="1">
        <v>38292</v>
      </c>
      <c r="B156">
        <v>289679</v>
      </c>
    </row>
    <row r="157" spans="1:2" x14ac:dyDescent="0.25">
      <c r="A157" s="1">
        <v>38322</v>
      </c>
      <c r="B157">
        <v>293401</v>
      </c>
    </row>
    <row r="158" spans="1:2" x14ac:dyDescent="0.25">
      <c r="A158" s="1">
        <v>38353</v>
      </c>
      <c r="B158">
        <v>290111</v>
      </c>
    </row>
    <row r="159" spans="1:2" x14ac:dyDescent="0.25">
      <c r="A159" s="1">
        <v>38384</v>
      </c>
      <c r="B159">
        <v>293710</v>
      </c>
    </row>
    <row r="160" spans="1:2" x14ac:dyDescent="0.25">
      <c r="A160" s="1">
        <v>38412</v>
      </c>
      <c r="B160">
        <v>294743</v>
      </c>
    </row>
    <row r="161" spans="1:2" x14ac:dyDescent="0.25">
      <c r="A161" s="1">
        <v>38443</v>
      </c>
      <c r="B161">
        <v>297153</v>
      </c>
    </row>
    <row r="162" spans="1:2" x14ac:dyDescent="0.25">
      <c r="A162" s="1">
        <v>38473</v>
      </c>
      <c r="B162">
        <v>295314</v>
      </c>
    </row>
    <row r="163" spans="1:2" x14ac:dyDescent="0.25">
      <c r="A163" s="1">
        <v>38504</v>
      </c>
      <c r="B163">
        <v>305083</v>
      </c>
    </row>
    <row r="164" spans="1:2" x14ac:dyDescent="0.25">
      <c r="A164" s="1">
        <v>38534</v>
      </c>
      <c r="B164">
        <v>307320</v>
      </c>
    </row>
    <row r="165" spans="1:2" x14ac:dyDescent="0.25">
      <c r="A165" s="1">
        <v>38565</v>
      </c>
      <c r="B165">
        <v>303216</v>
      </c>
    </row>
    <row r="166" spans="1:2" x14ac:dyDescent="0.25">
      <c r="A166" s="1">
        <v>38596</v>
      </c>
      <c r="B166">
        <v>304187</v>
      </c>
    </row>
    <row r="167" spans="1:2" x14ac:dyDescent="0.25">
      <c r="A167" s="1">
        <v>38626</v>
      </c>
      <c r="B167">
        <v>303989</v>
      </c>
    </row>
    <row r="168" spans="1:2" x14ac:dyDescent="0.25">
      <c r="A168" s="1">
        <v>38657</v>
      </c>
      <c r="B168">
        <v>306566</v>
      </c>
    </row>
    <row r="169" spans="1:2" x14ac:dyDescent="0.25">
      <c r="A169" s="1">
        <v>38687</v>
      </c>
      <c r="B169">
        <v>306723</v>
      </c>
    </row>
    <row r="170" spans="1:2" x14ac:dyDescent="0.25">
      <c r="A170" s="1">
        <v>38718</v>
      </c>
      <c r="B170">
        <v>315566</v>
      </c>
    </row>
    <row r="171" spans="1:2" x14ac:dyDescent="0.25">
      <c r="A171" s="1">
        <v>38749</v>
      </c>
      <c r="B171">
        <v>313440</v>
      </c>
    </row>
    <row r="172" spans="1:2" x14ac:dyDescent="0.25">
      <c r="A172" s="1">
        <v>38777</v>
      </c>
      <c r="B172">
        <v>314471</v>
      </c>
    </row>
    <row r="173" spans="1:2" x14ac:dyDescent="0.25">
      <c r="A173" s="1">
        <v>38808</v>
      </c>
      <c r="B173">
        <v>316094</v>
      </c>
    </row>
    <row r="174" spans="1:2" x14ac:dyDescent="0.25">
      <c r="A174" s="1">
        <v>38838</v>
      </c>
      <c r="B174">
        <v>314919</v>
      </c>
    </row>
    <row r="175" spans="1:2" x14ac:dyDescent="0.25">
      <c r="A175" s="1">
        <v>38869</v>
      </c>
      <c r="B175">
        <v>316978</v>
      </c>
    </row>
    <row r="176" spans="1:2" x14ac:dyDescent="0.25">
      <c r="A176" s="1">
        <v>38899</v>
      </c>
      <c r="B176">
        <v>317984</v>
      </c>
    </row>
    <row r="177" spans="1:2" x14ac:dyDescent="0.25">
      <c r="A177" s="1">
        <v>38930</v>
      </c>
      <c r="B177">
        <v>318802</v>
      </c>
    </row>
    <row r="178" spans="1:2" x14ac:dyDescent="0.25">
      <c r="A178" s="1">
        <v>38961</v>
      </c>
      <c r="B178">
        <v>316400</v>
      </c>
    </row>
    <row r="179" spans="1:2" x14ac:dyDescent="0.25">
      <c r="A179" s="1">
        <v>38991</v>
      </c>
      <c r="B179">
        <v>316145</v>
      </c>
    </row>
    <row r="180" spans="1:2" x14ac:dyDescent="0.25">
      <c r="A180" s="1">
        <v>39022</v>
      </c>
      <c r="B180">
        <v>317123</v>
      </c>
    </row>
    <row r="181" spans="1:2" x14ac:dyDescent="0.25">
      <c r="A181" s="1">
        <v>39052</v>
      </c>
      <c r="B181">
        <v>320312</v>
      </c>
    </row>
    <row r="182" spans="1:2" x14ac:dyDescent="0.25">
      <c r="A182" s="1">
        <v>39083</v>
      </c>
      <c r="B182">
        <v>320305</v>
      </c>
    </row>
    <row r="183" spans="1:2" x14ac:dyDescent="0.25">
      <c r="A183" s="1">
        <v>39114</v>
      </c>
      <c r="B183">
        <v>321434</v>
      </c>
    </row>
    <row r="184" spans="1:2" x14ac:dyDescent="0.25">
      <c r="A184" s="1">
        <v>39142</v>
      </c>
      <c r="B184">
        <v>323708</v>
      </c>
    </row>
    <row r="185" spans="1:2" x14ac:dyDescent="0.25">
      <c r="A185" s="1">
        <v>39173</v>
      </c>
      <c r="B185">
        <v>322878</v>
      </c>
    </row>
    <row r="186" spans="1:2" x14ac:dyDescent="0.25">
      <c r="A186" s="1">
        <v>39203</v>
      </c>
      <c r="B186">
        <v>327266</v>
      </c>
    </row>
    <row r="187" spans="1:2" x14ac:dyDescent="0.25">
      <c r="A187" s="1">
        <v>39234</v>
      </c>
      <c r="B187">
        <v>324076</v>
      </c>
    </row>
    <row r="188" spans="1:2" x14ac:dyDescent="0.25">
      <c r="A188" s="1">
        <v>39264</v>
      </c>
      <c r="B188">
        <v>325455</v>
      </c>
    </row>
    <row r="189" spans="1:2" x14ac:dyDescent="0.25">
      <c r="A189" s="1">
        <v>39295</v>
      </c>
      <c r="B189">
        <v>327444</v>
      </c>
    </row>
    <row r="190" spans="1:2" x14ac:dyDescent="0.25">
      <c r="A190" s="1">
        <v>39326</v>
      </c>
      <c r="B190">
        <v>328668</v>
      </c>
    </row>
    <row r="191" spans="1:2" x14ac:dyDescent="0.25">
      <c r="A191" s="1">
        <v>39356</v>
      </c>
      <c r="B191">
        <v>330544</v>
      </c>
    </row>
    <row r="192" spans="1:2" x14ac:dyDescent="0.25">
      <c r="A192" s="1">
        <v>39387</v>
      </c>
      <c r="B192">
        <v>334021</v>
      </c>
    </row>
    <row r="193" spans="1:2" x14ac:dyDescent="0.25">
      <c r="A193" s="1">
        <v>39417</v>
      </c>
      <c r="B193">
        <v>329259</v>
      </c>
    </row>
    <row r="194" spans="1:2" x14ac:dyDescent="0.25">
      <c r="A194" s="1">
        <v>39448</v>
      </c>
      <c r="B194">
        <v>330478</v>
      </c>
    </row>
    <row r="195" spans="1:2" x14ac:dyDescent="0.25">
      <c r="A195" s="1">
        <v>39479</v>
      </c>
      <c r="B195">
        <v>327869</v>
      </c>
    </row>
    <row r="196" spans="1:2" x14ac:dyDescent="0.25">
      <c r="A196" s="1">
        <v>39508</v>
      </c>
      <c r="B196">
        <v>328493</v>
      </c>
    </row>
    <row r="197" spans="1:2" x14ac:dyDescent="0.25">
      <c r="A197" s="1">
        <v>39539</v>
      </c>
      <c r="B197">
        <v>328037</v>
      </c>
    </row>
    <row r="198" spans="1:2" x14ac:dyDescent="0.25">
      <c r="A198" s="1">
        <v>39569</v>
      </c>
      <c r="B198">
        <v>331088</v>
      </c>
    </row>
    <row r="199" spans="1:2" x14ac:dyDescent="0.25">
      <c r="A199" s="1">
        <v>39600</v>
      </c>
      <c r="B199">
        <v>331764</v>
      </c>
    </row>
    <row r="200" spans="1:2" x14ac:dyDescent="0.25">
      <c r="A200" s="1">
        <v>39630</v>
      </c>
      <c r="B200">
        <v>330301</v>
      </c>
    </row>
    <row r="201" spans="1:2" x14ac:dyDescent="0.25">
      <c r="A201" s="1">
        <v>39661</v>
      </c>
      <c r="B201">
        <v>327296</v>
      </c>
    </row>
    <row r="202" spans="1:2" x14ac:dyDescent="0.25">
      <c r="A202" s="1">
        <v>39692</v>
      </c>
      <c r="B202">
        <v>321568</v>
      </c>
    </row>
    <row r="203" spans="1:2" x14ac:dyDescent="0.25">
      <c r="A203" s="1">
        <v>39722</v>
      </c>
      <c r="B203">
        <v>308968</v>
      </c>
    </row>
    <row r="204" spans="1:2" x14ac:dyDescent="0.25">
      <c r="A204" s="1">
        <v>39753</v>
      </c>
      <c r="B204">
        <v>295396</v>
      </c>
    </row>
    <row r="205" spans="1:2" x14ac:dyDescent="0.25">
      <c r="A205" s="1">
        <v>39783</v>
      </c>
      <c r="B205">
        <v>287571</v>
      </c>
    </row>
    <row r="206" spans="1:2" x14ac:dyDescent="0.25">
      <c r="A206" s="1">
        <v>39814</v>
      </c>
      <c r="B206">
        <v>292449</v>
      </c>
    </row>
    <row r="207" spans="1:2" x14ac:dyDescent="0.25">
      <c r="A207" s="1">
        <v>39845</v>
      </c>
      <c r="B207">
        <v>291429</v>
      </c>
    </row>
    <row r="208" spans="1:2" x14ac:dyDescent="0.25">
      <c r="A208" s="1">
        <v>39873</v>
      </c>
      <c r="B208">
        <v>286022</v>
      </c>
    </row>
    <row r="209" spans="1:2" x14ac:dyDescent="0.25">
      <c r="A209" s="1">
        <v>39904</v>
      </c>
      <c r="B209">
        <v>287530</v>
      </c>
    </row>
    <row r="210" spans="1:2" x14ac:dyDescent="0.25">
      <c r="A210" s="1">
        <v>39934</v>
      </c>
      <c r="B210">
        <v>290215</v>
      </c>
    </row>
    <row r="211" spans="1:2" x14ac:dyDescent="0.25">
      <c r="A211" s="1">
        <v>39965</v>
      </c>
      <c r="B211">
        <v>295458</v>
      </c>
    </row>
    <row r="212" spans="1:2" x14ac:dyDescent="0.25">
      <c r="A212" s="1">
        <v>39995</v>
      </c>
      <c r="B212">
        <v>296928</v>
      </c>
    </row>
    <row r="213" spans="1:2" x14ac:dyDescent="0.25">
      <c r="A213" s="1">
        <v>40026</v>
      </c>
      <c r="B213">
        <v>302871</v>
      </c>
    </row>
    <row r="214" spans="1:2" x14ac:dyDescent="0.25">
      <c r="A214" s="1">
        <v>40057</v>
      </c>
      <c r="B214">
        <v>294449</v>
      </c>
    </row>
    <row r="215" spans="1:2" x14ac:dyDescent="0.25">
      <c r="A215" s="1">
        <v>40087</v>
      </c>
      <c r="B215">
        <v>298067</v>
      </c>
    </row>
    <row r="216" spans="1:2" x14ac:dyDescent="0.25">
      <c r="A216" s="1">
        <v>40118</v>
      </c>
      <c r="B216">
        <v>300583</v>
      </c>
    </row>
    <row r="217" spans="1:2" x14ac:dyDescent="0.25">
      <c r="A217" s="1">
        <v>40148</v>
      </c>
      <c r="B217">
        <v>301959</v>
      </c>
    </row>
    <row r="218" spans="1:2" x14ac:dyDescent="0.25">
      <c r="A218" s="1">
        <v>40179</v>
      </c>
      <c r="B218">
        <v>302325</v>
      </c>
    </row>
    <row r="219" spans="1:2" x14ac:dyDescent="0.25">
      <c r="A219" s="1">
        <v>40210</v>
      </c>
      <c r="B219">
        <v>302310</v>
      </c>
    </row>
    <row r="220" spans="1:2" x14ac:dyDescent="0.25">
      <c r="A220" s="1">
        <v>40238</v>
      </c>
      <c r="B220">
        <v>309525</v>
      </c>
    </row>
    <row r="221" spans="1:2" x14ac:dyDescent="0.25">
      <c r="A221" s="1">
        <v>40269</v>
      </c>
      <c r="B221">
        <v>312143</v>
      </c>
    </row>
    <row r="222" spans="1:2" x14ac:dyDescent="0.25">
      <c r="A222" s="1">
        <v>40299</v>
      </c>
      <c r="B222">
        <v>309158</v>
      </c>
    </row>
    <row r="223" spans="1:2" x14ac:dyDescent="0.25">
      <c r="A223" s="1">
        <v>40330</v>
      </c>
      <c r="B223">
        <v>308588</v>
      </c>
    </row>
    <row r="224" spans="1:2" x14ac:dyDescent="0.25">
      <c r="A224" s="1">
        <v>40360</v>
      </c>
      <c r="B224">
        <v>309543</v>
      </c>
    </row>
    <row r="225" spans="1:2" x14ac:dyDescent="0.25">
      <c r="A225" s="1">
        <v>40391</v>
      </c>
      <c r="B225">
        <v>310761</v>
      </c>
    </row>
    <row r="226" spans="1:2" x14ac:dyDescent="0.25">
      <c r="A226" s="1">
        <v>40422</v>
      </c>
      <c r="B226">
        <v>313785</v>
      </c>
    </row>
    <row r="227" spans="1:2" x14ac:dyDescent="0.25">
      <c r="A227" s="1">
        <v>40452</v>
      </c>
      <c r="B227">
        <v>317699</v>
      </c>
    </row>
    <row r="228" spans="1:2" x14ac:dyDescent="0.25">
      <c r="A228" s="1">
        <v>40483</v>
      </c>
      <c r="B228">
        <v>320695</v>
      </c>
    </row>
    <row r="229" spans="1:2" x14ac:dyDescent="0.25">
      <c r="A229" s="1">
        <v>40513</v>
      </c>
      <c r="B229">
        <v>323421</v>
      </c>
    </row>
    <row r="230" spans="1:2" x14ac:dyDescent="0.25">
      <c r="A230" s="1">
        <v>40544</v>
      </c>
      <c r="B230">
        <v>325674</v>
      </c>
    </row>
    <row r="231" spans="1:2" x14ac:dyDescent="0.25">
      <c r="A231" s="1">
        <v>40575</v>
      </c>
      <c r="B231">
        <v>328049</v>
      </c>
    </row>
    <row r="232" spans="1:2" x14ac:dyDescent="0.25">
      <c r="A232" s="1">
        <v>40603</v>
      </c>
      <c r="B232">
        <v>331161</v>
      </c>
    </row>
    <row r="233" spans="1:2" x14ac:dyDescent="0.25">
      <c r="A233" s="1">
        <v>40634</v>
      </c>
      <c r="B233">
        <v>333189</v>
      </c>
    </row>
    <row r="234" spans="1:2" x14ac:dyDescent="0.25">
      <c r="A234" s="1">
        <v>40664</v>
      </c>
      <c r="B234">
        <v>332409</v>
      </c>
    </row>
    <row r="235" spans="1:2" x14ac:dyDescent="0.25">
      <c r="A235" s="1">
        <v>40695</v>
      </c>
      <c r="B235">
        <v>335108</v>
      </c>
    </row>
    <row r="236" spans="1:2" x14ac:dyDescent="0.25">
      <c r="A236" s="1">
        <v>40725</v>
      </c>
      <c r="B236">
        <v>334922</v>
      </c>
    </row>
    <row r="237" spans="1:2" x14ac:dyDescent="0.25">
      <c r="A237" s="1">
        <v>40756</v>
      </c>
      <c r="B237">
        <v>335163</v>
      </c>
    </row>
    <row r="238" spans="1:2" x14ac:dyDescent="0.25">
      <c r="A238" s="1">
        <v>40787</v>
      </c>
      <c r="B238">
        <v>339011</v>
      </c>
    </row>
    <row r="239" spans="1:2" x14ac:dyDescent="0.25">
      <c r="A239" s="1">
        <v>40817</v>
      </c>
      <c r="B239">
        <v>341058</v>
      </c>
    </row>
    <row r="240" spans="1:2" x14ac:dyDescent="0.25">
      <c r="A240" s="1">
        <v>40848</v>
      </c>
      <c r="B240">
        <v>342214</v>
      </c>
    </row>
    <row r="241" spans="1:2" x14ac:dyDescent="0.25">
      <c r="A241" s="1">
        <v>40878</v>
      </c>
      <c r="B241">
        <v>343093</v>
      </c>
    </row>
    <row r="242" spans="1:2" x14ac:dyDescent="0.25">
      <c r="A242" s="1">
        <v>40909</v>
      </c>
      <c r="B242">
        <v>345656</v>
      </c>
    </row>
    <row r="243" spans="1:2" x14ac:dyDescent="0.25">
      <c r="A243" s="1">
        <v>40940</v>
      </c>
      <c r="B243">
        <v>350345</v>
      </c>
    </row>
    <row r="244" spans="1:2" x14ac:dyDescent="0.25">
      <c r="A244" s="1">
        <v>40969</v>
      </c>
      <c r="B244">
        <v>351748</v>
      </c>
    </row>
    <row r="245" spans="1:2" x14ac:dyDescent="0.25">
      <c r="A245" s="1">
        <v>41000</v>
      </c>
      <c r="B245">
        <v>349722</v>
      </c>
    </row>
    <row r="246" spans="1:2" x14ac:dyDescent="0.25">
      <c r="A246" s="1">
        <v>41030</v>
      </c>
      <c r="B246">
        <v>349064</v>
      </c>
    </row>
    <row r="247" spans="1:2" x14ac:dyDescent="0.25">
      <c r="A247" s="1">
        <v>41061</v>
      </c>
      <c r="B247">
        <v>345339</v>
      </c>
    </row>
    <row r="248" spans="1:2" x14ac:dyDescent="0.25">
      <c r="A248" s="1">
        <v>41091</v>
      </c>
      <c r="B248">
        <v>346936</v>
      </c>
    </row>
    <row r="249" spans="1:2" x14ac:dyDescent="0.25">
      <c r="A249" s="1">
        <v>41122</v>
      </c>
      <c r="B249">
        <v>351782</v>
      </c>
    </row>
    <row r="250" spans="1:2" x14ac:dyDescent="0.25">
      <c r="A250" s="1">
        <v>41153</v>
      </c>
      <c r="B250">
        <v>354575</v>
      </c>
    </row>
    <row r="251" spans="1:2" x14ac:dyDescent="0.25">
      <c r="A251" s="1">
        <v>41183</v>
      </c>
      <c r="B251">
        <v>354747</v>
      </c>
    </row>
    <row r="252" spans="1:2" x14ac:dyDescent="0.25">
      <c r="A252" s="1">
        <v>41214</v>
      </c>
      <c r="B252">
        <v>356158</v>
      </c>
    </row>
    <row r="253" spans="1:2" x14ac:dyDescent="0.25">
      <c r="A253" s="1">
        <v>41244</v>
      </c>
      <c r="B253">
        <v>357519</v>
      </c>
    </row>
    <row r="254" spans="1:2" x14ac:dyDescent="0.25">
      <c r="A254" s="1">
        <v>41275</v>
      </c>
      <c r="B254">
        <v>360257</v>
      </c>
    </row>
    <row r="255" spans="1:2" x14ac:dyDescent="0.25">
      <c r="A255" s="1">
        <v>41306</v>
      </c>
      <c r="B255">
        <v>365227</v>
      </c>
    </row>
    <row r="256" spans="1:2" x14ac:dyDescent="0.25">
      <c r="A256" s="1">
        <v>41334</v>
      </c>
      <c r="B256">
        <v>362148</v>
      </c>
    </row>
    <row r="257" spans="1:2" x14ac:dyDescent="0.25">
      <c r="A257" s="1">
        <v>41365</v>
      </c>
      <c r="B257">
        <v>360499</v>
      </c>
    </row>
    <row r="258" spans="1:2" x14ac:dyDescent="0.25">
      <c r="A258" s="1">
        <v>41395</v>
      </c>
      <c r="B258">
        <v>362842</v>
      </c>
    </row>
    <row r="259" spans="1:2" x14ac:dyDescent="0.25">
      <c r="A259" s="1">
        <v>41426</v>
      </c>
      <c r="B259">
        <v>364181</v>
      </c>
    </row>
    <row r="260" spans="1:2" x14ac:dyDescent="0.25">
      <c r="A260" s="1">
        <v>41456</v>
      </c>
      <c r="B260">
        <v>366243</v>
      </c>
    </row>
    <row r="261" spans="1:2" x14ac:dyDescent="0.25">
      <c r="A261" s="1">
        <v>41487</v>
      </c>
      <c r="B261">
        <v>365543</v>
      </c>
    </row>
    <row r="262" spans="1:2" x14ac:dyDescent="0.25">
      <c r="A262" s="1">
        <v>41518</v>
      </c>
      <c r="B262">
        <v>365668</v>
      </c>
    </row>
    <row r="263" spans="1:2" x14ac:dyDescent="0.25">
      <c r="A263" s="1">
        <v>41548</v>
      </c>
      <c r="B263">
        <v>366444</v>
      </c>
    </row>
    <row r="264" spans="1:2" x14ac:dyDescent="0.25">
      <c r="A264" s="1">
        <v>41579</v>
      </c>
      <c r="B264">
        <v>366868</v>
      </c>
    </row>
    <row r="265" spans="1:2" x14ac:dyDescent="0.25">
      <c r="A265" s="1">
        <v>41609</v>
      </c>
      <c r="B265">
        <v>369499</v>
      </c>
    </row>
    <row r="266" spans="1:2" x14ac:dyDescent="0.25">
      <c r="A266" s="1">
        <v>41640</v>
      </c>
      <c r="B266">
        <v>366684</v>
      </c>
    </row>
    <row r="267" spans="1:2" x14ac:dyDescent="0.25">
      <c r="A267" s="1">
        <v>41671</v>
      </c>
      <c r="B267">
        <v>371335</v>
      </c>
    </row>
    <row r="268" spans="1:2" x14ac:dyDescent="0.25">
      <c r="A268" s="1">
        <v>41699</v>
      </c>
      <c r="B268">
        <v>375285</v>
      </c>
    </row>
    <row r="269" spans="1:2" x14ac:dyDescent="0.25">
      <c r="A269" s="1">
        <v>41730</v>
      </c>
      <c r="B269">
        <v>379432</v>
      </c>
    </row>
    <row r="270" spans="1:2" x14ac:dyDescent="0.25">
      <c r="A270" s="1">
        <v>41760</v>
      </c>
      <c r="B270">
        <v>379787</v>
      </c>
    </row>
    <row r="271" spans="1:2" x14ac:dyDescent="0.25">
      <c r="A271" s="1">
        <v>41791</v>
      </c>
      <c r="B271">
        <v>380618</v>
      </c>
    </row>
    <row r="272" spans="1:2" x14ac:dyDescent="0.25">
      <c r="A272" s="1">
        <v>41821</v>
      </c>
      <c r="B272">
        <v>381045</v>
      </c>
    </row>
    <row r="273" spans="1:2" x14ac:dyDescent="0.25">
      <c r="A273" s="1">
        <v>41852</v>
      </c>
      <c r="B273">
        <v>384017</v>
      </c>
    </row>
    <row r="274" spans="1:2" x14ac:dyDescent="0.25">
      <c r="A274" s="1">
        <v>41883</v>
      </c>
      <c r="B274">
        <v>382277</v>
      </c>
    </row>
    <row r="275" spans="1:2" x14ac:dyDescent="0.25">
      <c r="A275" s="1">
        <v>41913</v>
      </c>
      <c r="B275">
        <v>383323</v>
      </c>
    </row>
    <row r="276" spans="1:2" x14ac:dyDescent="0.25">
      <c r="A276" s="1">
        <v>41944</v>
      </c>
      <c r="B276">
        <v>384459</v>
      </c>
    </row>
    <row r="277" spans="1:2" x14ac:dyDescent="0.25">
      <c r="A277" s="1">
        <v>41974</v>
      </c>
      <c r="B277">
        <v>380682</v>
      </c>
    </row>
    <row r="278" spans="1:2" x14ac:dyDescent="0.25">
      <c r="A278" s="1">
        <v>42005</v>
      </c>
      <c r="B278">
        <v>378518</v>
      </c>
    </row>
    <row r="279" spans="1:2" x14ac:dyDescent="0.25">
      <c r="A279" s="1">
        <v>42036</v>
      </c>
      <c r="B279">
        <v>377594</v>
      </c>
    </row>
    <row r="280" spans="1:2" x14ac:dyDescent="0.25">
      <c r="A280" s="1">
        <v>42064</v>
      </c>
      <c r="B280">
        <v>383681</v>
      </c>
    </row>
    <row r="281" spans="1:2" x14ac:dyDescent="0.25">
      <c r="A281" s="1">
        <v>42095</v>
      </c>
      <c r="B281">
        <v>383893</v>
      </c>
    </row>
    <row r="282" spans="1:2" x14ac:dyDescent="0.25">
      <c r="A282" s="1">
        <v>42125</v>
      </c>
      <c r="B282">
        <v>387155</v>
      </c>
    </row>
    <row r="283" spans="1:2" x14ac:dyDescent="0.25">
      <c r="A283" s="1">
        <v>42156</v>
      </c>
      <c r="B283">
        <v>387199</v>
      </c>
    </row>
    <row r="284" spans="1:2" x14ac:dyDescent="0.25">
      <c r="A284" s="1">
        <v>42186</v>
      </c>
      <c r="B284">
        <v>390953</v>
      </c>
    </row>
    <row r="285" spans="1:2" x14ac:dyDescent="0.25">
      <c r="A285" s="1">
        <v>42217</v>
      </c>
      <c r="B285">
        <v>390570</v>
      </c>
    </row>
    <row r="286" spans="1:2" x14ac:dyDescent="0.25">
      <c r="A286" s="1">
        <v>42248</v>
      </c>
      <c r="B286">
        <v>388551</v>
      </c>
    </row>
    <row r="287" spans="1:2" x14ac:dyDescent="0.25">
      <c r="A287" s="1">
        <v>42278</v>
      </c>
      <c r="B287">
        <v>387066</v>
      </c>
    </row>
    <row r="288" spans="1:2" x14ac:dyDescent="0.25">
      <c r="A288" s="1">
        <v>42309</v>
      </c>
      <c r="B288">
        <v>388530</v>
      </c>
    </row>
    <row r="289" spans="1:2" x14ac:dyDescent="0.25">
      <c r="A289" s="1">
        <v>42339</v>
      </c>
      <c r="B289">
        <v>389551</v>
      </c>
    </row>
    <row r="290" spans="1:2" x14ac:dyDescent="0.25">
      <c r="A290" s="1">
        <v>42370</v>
      </c>
      <c r="B290">
        <v>387483</v>
      </c>
    </row>
    <row r="291" spans="1:2" x14ac:dyDescent="0.25">
      <c r="A291" s="1">
        <v>42401</v>
      </c>
      <c r="B291">
        <v>390029</v>
      </c>
    </row>
    <row r="292" spans="1:2" x14ac:dyDescent="0.25">
      <c r="A292" s="1">
        <v>42430</v>
      </c>
      <c r="B292">
        <v>388998</v>
      </c>
    </row>
    <row r="293" spans="1:2" x14ac:dyDescent="0.25">
      <c r="A293" s="1">
        <v>42461</v>
      </c>
      <c r="B293">
        <v>391112</v>
      </c>
    </row>
    <row r="294" spans="1:2" x14ac:dyDescent="0.25">
      <c r="A294" s="1">
        <v>42491</v>
      </c>
      <c r="B294">
        <v>392299</v>
      </c>
    </row>
    <row r="295" spans="1:2" x14ac:dyDescent="0.25">
      <c r="A295" s="1">
        <v>42522</v>
      </c>
      <c r="B295">
        <v>397113</v>
      </c>
    </row>
    <row r="296" spans="1:2" x14ac:dyDescent="0.25">
      <c r="A296" s="1">
        <v>42552</v>
      </c>
      <c r="B296">
        <v>396545</v>
      </c>
    </row>
    <row r="297" spans="1:2" x14ac:dyDescent="0.25">
      <c r="A297" s="1">
        <v>42583</v>
      </c>
      <c r="B297">
        <v>396293</v>
      </c>
    </row>
    <row r="298" spans="1:2" x14ac:dyDescent="0.25">
      <c r="A298" s="1">
        <v>42614</v>
      </c>
      <c r="B298">
        <v>398797</v>
      </c>
    </row>
    <row r="299" spans="1:2" x14ac:dyDescent="0.25">
      <c r="A299" s="1">
        <v>42644</v>
      </c>
      <c r="B299">
        <v>399637</v>
      </c>
    </row>
    <row r="300" spans="1:2" x14ac:dyDescent="0.25">
      <c r="A300" s="1">
        <v>42675</v>
      </c>
      <c r="B300">
        <v>398680</v>
      </c>
    </row>
    <row r="301" spans="1:2" x14ac:dyDescent="0.25">
      <c r="A301" s="1">
        <v>42705</v>
      </c>
      <c r="B301">
        <v>405114</v>
      </c>
    </row>
    <row r="302" spans="1:2" x14ac:dyDescent="0.25">
      <c r="A302" s="1">
        <v>42736</v>
      </c>
      <c r="B302">
        <v>408269</v>
      </c>
    </row>
    <row r="303" spans="1:2" x14ac:dyDescent="0.25">
      <c r="A303" s="1">
        <v>42767</v>
      </c>
      <c r="B303">
        <v>408155</v>
      </c>
    </row>
    <row r="304" spans="1:2" x14ac:dyDescent="0.25">
      <c r="A304" s="1">
        <v>42795</v>
      </c>
      <c r="B304">
        <v>407630</v>
      </c>
    </row>
    <row r="305" spans="1:2" x14ac:dyDescent="0.25">
      <c r="A305" s="1">
        <v>42826</v>
      </c>
      <c r="B305">
        <v>409134</v>
      </c>
    </row>
    <row r="306" spans="1:2" x14ac:dyDescent="0.25">
      <c r="A306" s="1">
        <v>42856</v>
      </c>
      <c r="B306">
        <v>406609</v>
      </c>
    </row>
    <row r="307" spans="1:2" x14ac:dyDescent="0.25">
      <c r="A307" s="1">
        <v>42887</v>
      </c>
      <c r="B307">
        <v>409067</v>
      </c>
    </row>
    <row r="308" spans="1:2" x14ac:dyDescent="0.25">
      <c r="A308" s="1">
        <v>42917</v>
      </c>
      <c r="B308">
        <v>409113</v>
      </c>
    </row>
    <row r="309" spans="1:2" x14ac:dyDescent="0.25">
      <c r="A309" s="1">
        <v>42948</v>
      </c>
      <c r="B309">
        <v>409606</v>
      </c>
    </row>
    <row r="310" spans="1:2" x14ac:dyDescent="0.25">
      <c r="A310" s="1">
        <v>42979</v>
      </c>
      <c r="B310">
        <v>419021</v>
      </c>
    </row>
    <row r="311" spans="1:2" x14ac:dyDescent="0.25">
      <c r="A311" s="1">
        <v>43009</v>
      </c>
      <c r="B311">
        <v>418999</v>
      </c>
    </row>
    <row r="312" spans="1:2" x14ac:dyDescent="0.25">
      <c r="A312" s="1">
        <v>43040</v>
      </c>
      <c r="B312">
        <v>423224</v>
      </c>
    </row>
    <row r="313" spans="1:2" x14ac:dyDescent="0.25">
      <c r="A313" s="1">
        <v>43070</v>
      </c>
      <c r="B313">
        <v>425545</v>
      </c>
    </row>
    <row r="314" spans="1:2" x14ac:dyDescent="0.25">
      <c r="A314" s="1">
        <v>43101</v>
      </c>
      <c r="B314">
        <v>423202</v>
      </c>
    </row>
    <row r="315" spans="1:2" x14ac:dyDescent="0.25">
      <c r="A315" s="1">
        <v>43132</v>
      </c>
      <c r="B315">
        <v>425507</v>
      </c>
    </row>
    <row r="316" spans="1:2" x14ac:dyDescent="0.25">
      <c r="A316" s="1">
        <v>43160</v>
      </c>
      <c r="B316">
        <v>425087</v>
      </c>
    </row>
    <row r="317" spans="1:2" x14ac:dyDescent="0.25">
      <c r="A317" s="1">
        <v>43191</v>
      </c>
      <c r="B317">
        <v>425899</v>
      </c>
    </row>
    <row r="318" spans="1:2" x14ac:dyDescent="0.25">
      <c r="A318" s="1">
        <v>43221</v>
      </c>
      <c r="B318">
        <v>432340</v>
      </c>
    </row>
    <row r="319" spans="1:2" x14ac:dyDescent="0.25">
      <c r="A319" s="1">
        <v>43252</v>
      </c>
      <c r="B319">
        <v>430008</v>
      </c>
    </row>
    <row r="320" spans="1:2" x14ac:dyDescent="0.25">
      <c r="A320" s="1">
        <v>43282</v>
      </c>
      <c r="B320">
        <v>432070</v>
      </c>
    </row>
    <row r="321" spans="1:2" x14ac:dyDescent="0.25">
      <c r="A321" s="1">
        <v>43313</v>
      </c>
      <c r="B321">
        <v>432031</v>
      </c>
    </row>
    <row r="322" spans="1:2" x14ac:dyDescent="0.25">
      <c r="A322" s="1">
        <v>43344</v>
      </c>
      <c r="B322">
        <v>431438</v>
      </c>
    </row>
    <row r="323" spans="1:2" x14ac:dyDescent="0.25">
      <c r="A323" s="1">
        <v>43374</v>
      </c>
      <c r="B323">
        <v>435894</v>
      </c>
    </row>
    <row r="324" spans="1:2" x14ac:dyDescent="0.25">
      <c r="A324" s="1">
        <v>43405</v>
      </c>
      <c r="B324">
        <v>438612</v>
      </c>
    </row>
    <row r="325" spans="1:2" x14ac:dyDescent="0.25">
      <c r="A325" s="1">
        <v>43435</v>
      </c>
      <c r="B325">
        <v>428932</v>
      </c>
    </row>
    <row r="326" spans="1:2" x14ac:dyDescent="0.25">
      <c r="A326" s="1">
        <v>43466</v>
      </c>
      <c r="B326">
        <v>430246</v>
      </c>
    </row>
    <row r="327" spans="1:2" x14ac:dyDescent="0.25">
      <c r="A327" s="1">
        <v>43497</v>
      </c>
      <c r="B327">
        <v>431194</v>
      </c>
    </row>
    <row r="328" spans="1:2" x14ac:dyDescent="0.25">
      <c r="A328" s="1">
        <v>43525</v>
      </c>
      <c r="B328">
        <v>438196</v>
      </c>
    </row>
    <row r="329" spans="1:2" x14ac:dyDescent="0.25">
      <c r="A329" s="1">
        <v>43556</v>
      </c>
      <c r="B329">
        <v>437735</v>
      </c>
    </row>
    <row r="330" spans="1:2" x14ac:dyDescent="0.25">
      <c r="A330" s="1">
        <v>43586</v>
      </c>
      <c r="B330">
        <v>442514</v>
      </c>
    </row>
    <row r="331" spans="1:2" x14ac:dyDescent="0.25">
      <c r="A331" s="1">
        <v>43617</v>
      </c>
      <c r="B331">
        <v>442116</v>
      </c>
    </row>
    <row r="332" spans="1:2" x14ac:dyDescent="0.25">
      <c r="A332" s="1">
        <v>43647</v>
      </c>
      <c r="B332">
        <v>445304</v>
      </c>
    </row>
    <row r="333" spans="1:2" x14ac:dyDescent="0.25">
      <c r="A333" s="1">
        <v>43678</v>
      </c>
      <c r="B333">
        <v>448519</v>
      </c>
    </row>
    <row r="334" spans="1:2" x14ac:dyDescent="0.25">
      <c r="A334" s="1">
        <v>43709</v>
      </c>
      <c r="B334">
        <v>444555</v>
      </c>
    </row>
    <row r="335" spans="1:2" x14ac:dyDescent="0.25">
      <c r="A335" s="1">
        <v>43739</v>
      </c>
      <c r="B335">
        <v>445627</v>
      </c>
    </row>
    <row r="336" spans="1:2" x14ac:dyDescent="0.25">
      <c r="A336" s="1">
        <v>43770</v>
      </c>
      <c r="B336">
        <v>449040</v>
      </c>
    </row>
    <row r="337" spans="1:2" x14ac:dyDescent="0.25">
      <c r="A337" s="1">
        <v>43800</v>
      </c>
      <c r="B337">
        <v>449643</v>
      </c>
    </row>
    <row r="338" spans="1:2" x14ac:dyDescent="0.25">
      <c r="A338" s="1">
        <v>43831</v>
      </c>
      <c r="B338">
        <v>447774</v>
      </c>
    </row>
    <row r="339" spans="1:2" x14ac:dyDescent="0.25">
      <c r="A339" s="1">
        <v>43862</v>
      </c>
      <c r="B339">
        <v>447972</v>
      </c>
    </row>
    <row r="340" spans="1:2" x14ac:dyDescent="0.25">
      <c r="A340" s="1">
        <v>43891</v>
      </c>
      <c r="B340">
        <v>420954</v>
      </c>
    </row>
    <row r="341" spans="1:2" x14ac:dyDescent="0.25">
      <c r="A341" s="1">
        <v>43922</v>
      </c>
      <c r="B341">
        <v>370296</v>
      </c>
    </row>
    <row r="342" spans="1:2" x14ac:dyDescent="0.25">
      <c r="A342" s="1">
        <v>43952</v>
      </c>
      <c r="B342">
        <v>437957</v>
      </c>
    </row>
    <row r="343" spans="1:2" x14ac:dyDescent="0.25">
      <c r="A343" s="1">
        <v>43983</v>
      </c>
      <c r="B343">
        <v>465800</v>
      </c>
    </row>
    <row r="344" spans="1:2" x14ac:dyDescent="0.25">
      <c r="A344" s="1">
        <v>44013</v>
      </c>
      <c r="B344">
        <v>471873</v>
      </c>
    </row>
    <row r="345" spans="1:2" x14ac:dyDescent="0.25">
      <c r="A345" s="1">
        <v>44044</v>
      </c>
      <c r="B345">
        <v>473696</v>
      </c>
    </row>
    <row r="346" spans="1:2" x14ac:dyDescent="0.25">
      <c r="A346" s="1">
        <v>44075</v>
      </c>
      <c r="B346">
        <v>482702</v>
      </c>
    </row>
    <row r="347" spans="1:2" x14ac:dyDescent="0.25">
      <c r="A347" s="1">
        <v>44105</v>
      </c>
      <c r="B347">
        <v>480763</v>
      </c>
    </row>
    <row r="348" spans="1:2" x14ac:dyDescent="0.25">
      <c r="A348" s="1">
        <v>44136</v>
      </c>
      <c r="B348">
        <v>478079</v>
      </c>
    </row>
    <row r="349" spans="1:2" x14ac:dyDescent="0.25">
      <c r="A349" s="1">
        <v>44166</v>
      </c>
      <c r="B349">
        <v>485949</v>
      </c>
    </row>
    <row r="350" spans="1:2" x14ac:dyDescent="0.25">
      <c r="A350" s="1">
        <v>44197</v>
      </c>
      <c r="B350">
        <v>501604</v>
      </c>
    </row>
    <row r="351" spans="1:2" x14ac:dyDescent="0.25">
      <c r="A351" s="1">
        <v>44228</v>
      </c>
      <c r="B351">
        <v>488805</v>
      </c>
    </row>
    <row r="352" spans="1:2" x14ac:dyDescent="0.25">
      <c r="A352" s="1">
        <v>44256</v>
      </c>
      <c r="B352">
        <v>539607</v>
      </c>
    </row>
    <row r="353" spans="1:2" x14ac:dyDescent="0.25">
      <c r="A353" s="1">
        <v>44287</v>
      </c>
      <c r="B353">
        <v>542199</v>
      </c>
    </row>
    <row r="354" spans="1:2" x14ac:dyDescent="0.25">
      <c r="A354" s="1">
        <v>44317</v>
      </c>
      <c r="B354">
        <v>536589</v>
      </c>
    </row>
    <row r="355" spans="1:2" x14ac:dyDescent="0.25">
      <c r="A355" s="1">
        <v>44348</v>
      </c>
      <c r="B355">
        <v>540152</v>
      </c>
    </row>
    <row r="356" spans="1:2" x14ac:dyDescent="0.25">
      <c r="A356" s="1">
        <v>44378</v>
      </c>
      <c r="B356">
        <v>528600</v>
      </c>
    </row>
    <row r="357" spans="1:2" x14ac:dyDescent="0.25">
      <c r="A357" s="1">
        <v>44409</v>
      </c>
      <c r="B357">
        <v>532477</v>
      </c>
    </row>
    <row r="358" spans="1:2" x14ac:dyDescent="0.25">
      <c r="A358" s="1">
        <v>44440</v>
      </c>
      <c r="B358">
        <v>536651</v>
      </c>
    </row>
    <row r="359" spans="1:2" x14ac:dyDescent="0.25">
      <c r="A359" s="1">
        <v>44470</v>
      </c>
      <c r="B359">
        <v>545361</v>
      </c>
    </row>
    <row r="360" spans="1:2" x14ac:dyDescent="0.25">
      <c r="A360" s="1">
        <v>44501</v>
      </c>
      <c r="B360">
        <v>551082</v>
      </c>
    </row>
    <row r="361" spans="1:2" x14ac:dyDescent="0.25">
      <c r="A361" s="1">
        <v>44531</v>
      </c>
      <c r="B361">
        <v>547277</v>
      </c>
    </row>
    <row r="362" spans="1:2" x14ac:dyDescent="0.25">
      <c r="A362" s="1">
        <v>44562</v>
      </c>
      <c r="B362">
        <v>560257</v>
      </c>
    </row>
    <row r="363" spans="1:2" x14ac:dyDescent="0.25">
      <c r="A363" s="1">
        <v>44593</v>
      </c>
      <c r="B363">
        <v>563777</v>
      </c>
    </row>
    <row r="364" spans="1:2" x14ac:dyDescent="0.25">
      <c r="A364" s="1">
        <v>44621</v>
      </c>
      <c r="B364">
        <v>574485</v>
      </c>
    </row>
    <row r="365" spans="1:2" x14ac:dyDescent="0.25">
      <c r="A365" s="1">
        <v>44652</v>
      </c>
      <c r="B365">
        <v>580943</v>
      </c>
    </row>
    <row r="366" spans="1:2" x14ac:dyDescent="0.25">
      <c r="A366" s="1">
        <v>44682</v>
      </c>
      <c r="B366">
        <v>579844</v>
      </c>
    </row>
    <row r="367" spans="1:2" x14ac:dyDescent="0.25">
      <c r="A367" s="1">
        <v>44713</v>
      </c>
      <c r="B367">
        <v>585556</v>
      </c>
    </row>
    <row r="368" spans="1:2" x14ac:dyDescent="0.25">
      <c r="A368" s="1">
        <v>44743</v>
      </c>
      <c r="B368">
        <v>579267</v>
      </c>
    </row>
    <row r="369" spans="1:2" x14ac:dyDescent="0.25">
      <c r="A369" s="1">
        <v>44774</v>
      </c>
      <c r="B369">
        <v>581196</v>
      </c>
    </row>
    <row r="370" spans="1:2" x14ac:dyDescent="0.25">
      <c r="A370" s="1">
        <v>44805</v>
      </c>
      <c r="B370">
        <v>579446</v>
      </c>
    </row>
    <row r="371" spans="1:2" x14ac:dyDescent="0.25">
      <c r="A371" s="1">
        <v>44835</v>
      </c>
      <c r="B371">
        <v>585006</v>
      </c>
    </row>
    <row r="372" spans="1:2" x14ac:dyDescent="0.25">
      <c r="A372" s="1">
        <v>44866</v>
      </c>
      <c r="B372">
        <v>576356</v>
      </c>
    </row>
    <row r="373" spans="1:2" x14ac:dyDescent="0.25">
      <c r="A373" s="1">
        <v>44896</v>
      </c>
      <c r="B373">
        <v>569119</v>
      </c>
    </row>
    <row r="374" spans="1:2" x14ac:dyDescent="0.25">
      <c r="A374" s="1">
        <v>44927</v>
      </c>
      <c r="B374">
        <v>591964</v>
      </c>
    </row>
    <row r="375" spans="1:2" x14ac:dyDescent="0.25">
      <c r="A375" s="1">
        <v>44958</v>
      </c>
      <c r="B375">
        <v>586165</v>
      </c>
    </row>
    <row r="376" spans="1:2" x14ac:dyDescent="0.25">
      <c r="A376" s="1">
        <v>44986</v>
      </c>
      <c r="B376">
        <v>578812</v>
      </c>
    </row>
    <row r="377" spans="1:2" x14ac:dyDescent="0.25">
      <c r="A377" s="1">
        <v>45017</v>
      </c>
      <c r="B377">
        <v>583874</v>
      </c>
    </row>
    <row r="378" spans="1:2" x14ac:dyDescent="0.25">
      <c r="A378" s="1">
        <v>45047</v>
      </c>
      <c r="B378">
        <v>586286</v>
      </c>
    </row>
    <row r="379" spans="1:2" x14ac:dyDescent="0.25">
      <c r="A379" s="1">
        <v>45078</v>
      </c>
      <c r="B379">
        <v>588670</v>
      </c>
    </row>
    <row r="380" spans="1:2" x14ac:dyDescent="0.25">
      <c r="A380" s="1">
        <v>45108</v>
      </c>
      <c r="B380">
        <v>589257</v>
      </c>
    </row>
    <row r="381" spans="1:2" x14ac:dyDescent="0.25">
      <c r="A381" s="1">
        <v>45139</v>
      </c>
      <c r="B381">
        <v>595191</v>
      </c>
    </row>
    <row r="382" spans="1:2" x14ac:dyDescent="0.25">
      <c r="A382" s="1">
        <v>45170</v>
      </c>
      <c r="B382">
        <v>598956</v>
      </c>
    </row>
    <row r="383" spans="1:2" x14ac:dyDescent="0.25">
      <c r="A383" s="1">
        <v>45200</v>
      </c>
      <c r="B383">
        <v>595517</v>
      </c>
    </row>
    <row r="384" spans="1:2" x14ac:dyDescent="0.25">
      <c r="A384" s="1">
        <v>45231</v>
      </c>
      <c r="B384">
        <v>593567</v>
      </c>
    </row>
    <row r="385" spans="1:2" x14ac:dyDescent="0.25">
      <c r="A385" s="1">
        <v>45261</v>
      </c>
      <c r="B385">
        <v>594256</v>
      </c>
    </row>
    <row r="386" spans="1:2" x14ac:dyDescent="0.25">
      <c r="A386" s="1">
        <v>45292</v>
      </c>
      <c r="B386">
        <v>588944</v>
      </c>
    </row>
    <row r="387" spans="1:2" x14ac:dyDescent="0.25">
      <c r="A387" s="1">
        <v>45323</v>
      </c>
      <c r="B387">
        <v>593206</v>
      </c>
    </row>
    <row r="388" spans="1:2" x14ac:dyDescent="0.25">
      <c r="A388" s="1">
        <v>45352</v>
      </c>
      <c r="B388">
        <v>595969</v>
      </c>
    </row>
    <row r="389" spans="1:2" x14ac:dyDescent="0.25">
      <c r="A389" s="1">
        <v>45383</v>
      </c>
      <c r="B389">
        <v>595676</v>
      </c>
    </row>
    <row r="390" spans="1:2" x14ac:dyDescent="0.25">
      <c r="A390" s="1">
        <v>45413</v>
      </c>
      <c r="B390">
        <v>600372</v>
      </c>
    </row>
    <row r="391" spans="1:2" x14ac:dyDescent="0.25">
      <c r="A391" s="1">
        <v>45444</v>
      </c>
      <c r="B391">
        <v>599979</v>
      </c>
    </row>
    <row r="392" spans="1:2" x14ac:dyDescent="0.25">
      <c r="A392" s="1">
        <v>45474</v>
      </c>
      <c r="B392">
        <v>605814</v>
      </c>
    </row>
    <row r="393" spans="1:2" x14ac:dyDescent="0.25">
      <c r="A393" s="1">
        <v>45505</v>
      </c>
      <c r="B393">
        <v>603601</v>
      </c>
    </row>
    <row r="394" spans="1:2" x14ac:dyDescent="0.25">
      <c r="A394" s="1">
        <v>45536</v>
      </c>
      <c r="B394">
        <v>608774</v>
      </c>
    </row>
    <row r="395" spans="1:2" x14ac:dyDescent="0.25">
      <c r="A395" s="1">
        <v>45566</v>
      </c>
      <c r="B395">
        <v>612772</v>
      </c>
    </row>
    <row r="396" spans="1:2" x14ac:dyDescent="0.25">
      <c r="A396" s="1">
        <v>45597</v>
      </c>
      <c r="B396">
        <v>616344</v>
      </c>
    </row>
    <row r="397" spans="1:2" x14ac:dyDescent="0.25">
      <c r="A397" s="1">
        <v>45627</v>
      </c>
      <c r="B397">
        <v>621803</v>
      </c>
    </row>
    <row r="398" spans="1:2" x14ac:dyDescent="0.25">
      <c r="A398" s="1">
        <v>45658</v>
      </c>
      <c r="B398">
        <v>615973</v>
      </c>
    </row>
    <row r="399" spans="1:2" x14ac:dyDescent="0.25">
      <c r="A399" s="1">
        <v>45689</v>
      </c>
      <c r="B399">
        <v>616714</v>
      </c>
    </row>
    <row r="400" spans="1:2" x14ac:dyDescent="0.25">
      <c r="A400" s="1">
        <v>45717</v>
      </c>
      <c r="B400">
        <v>625121</v>
      </c>
    </row>
    <row r="401" spans="1:2" x14ac:dyDescent="0.25">
      <c r="A401" s="1">
        <v>45748</v>
      </c>
      <c r="B401">
        <v>623521</v>
      </c>
    </row>
    <row r="402" spans="1:2" x14ac:dyDescent="0.25">
      <c r="A402" s="1">
        <v>45778</v>
      </c>
      <c r="B402">
        <v>618037</v>
      </c>
    </row>
    <row r="403" spans="1:2" x14ac:dyDescent="0.25">
      <c r="A403" s="1">
        <v>45809</v>
      </c>
      <c r="B403">
        <v>624146</v>
      </c>
    </row>
    <row r="404" spans="1:2" x14ac:dyDescent="0.25">
      <c r="A404" s="1">
        <v>45839</v>
      </c>
      <c r="B404">
        <v>628747</v>
      </c>
    </row>
    <row r="405" spans="1:2" x14ac:dyDescent="0.25">
      <c r="A405" s="1">
        <v>45870</v>
      </c>
      <c r="B405">
        <v>632149</v>
      </c>
    </row>
    <row r="406" spans="1:2" x14ac:dyDescent="0.25">
      <c r="A406" s="1">
        <v>45901</v>
      </c>
      <c r="B406">
        <v>632395</v>
      </c>
    </row>
    <row r="407" spans="1:2" x14ac:dyDescent="0.25">
      <c r="A407" s="1">
        <v>45931</v>
      </c>
      <c r="B407">
        <v>631346</v>
      </c>
    </row>
    <row r="408" spans="1:2" x14ac:dyDescent="0.25">
      <c r="A408" s="1">
        <v>45962</v>
      </c>
      <c r="B408">
        <v>634711</v>
      </c>
    </row>
    <row r="409" spans="1:2" x14ac:dyDescent="0.25">
      <c r="A409" s="1">
        <v>45992</v>
      </c>
      <c r="B409">
        <v>634738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967DE-5BB2-4A78-B4A0-EDF807E3765C}">
  <sheetPr codeName="Sheet2"/>
  <dimension ref="A1:B409"/>
  <sheetViews>
    <sheetView workbookViewId="0">
      <selection activeCell="A8" sqref="A8"/>
    </sheetView>
  </sheetViews>
  <sheetFormatPr defaultRowHeight="15" x14ac:dyDescent="0.25"/>
  <cols>
    <col min="1" max="1" width="18.7109375" customWidth="1"/>
  </cols>
  <sheetData>
    <row r="1" spans="1:2" x14ac:dyDescent="0.25">
      <c r="A1" s="4" t="s">
        <v>0</v>
      </c>
      <c r="B1" s="5" t="s">
        <v>1</v>
      </c>
    </row>
    <row r="2" spans="1:2" x14ac:dyDescent="0.25">
      <c r="A2" s="6">
        <v>0</v>
      </c>
      <c r="B2" s="7">
        <v>6.0696117478451861E-4</v>
      </c>
    </row>
    <row r="3" spans="1:2" x14ac:dyDescent="0.25">
      <c r="A3" s="8">
        <v>2.5024216984178239E-3</v>
      </c>
      <c r="B3" s="9">
        <v>9.4190630468232988E-4</v>
      </c>
    </row>
    <row r="4" spans="1:2" x14ac:dyDescent="0.25">
      <c r="A4" s="6">
        <v>4.8433968356474009E-3</v>
      </c>
      <c r="B4" s="7">
        <v>0</v>
      </c>
    </row>
    <row r="5" spans="1:2" x14ac:dyDescent="0.25">
      <c r="A5" s="8">
        <v>7.3458185340652248E-3</v>
      </c>
      <c r="B5" s="9">
        <v>3.1241245752286761E-3</v>
      </c>
    </row>
    <row r="6" spans="1:2" x14ac:dyDescent="0.25">
      <c r="A6" s="6">
        <v>9.767516951888924E-3</v>
      </c>
      <c r="B6" s="7">
        <v>4.3015074560815887E-3</v>
      </c>
    </row>
    <row r="7" spans="1:2" x14ac:dyDescent="0.25">
      <c r="A7" s="8">
        <v>1.2269938650306749E-2</v>
      </c>
      <c r="B7" s="9">
        <v>6.4004969367745393E-3</v>
      </c>
    </row>
    <row r="8" spans="1:2" x14ac:dyDescent="0.25">
      <c r="A8" s="6">
        <v>1.469163706813045E-2</v>
      </c>
      <c r="B8" s="7">
        <v>9.3845535485914035E-3</v>
      </c>
    </row>
    <row r="9" spans="1:2" x14ac:dyDescent="0.25">
      <c r="A9" s="8">
        <v>1.7194058766548271E-2</v>
      </c>
      <c r="B9" s="9">
        <v>8.0183834127051795E-3</v>
      </c>
    </row>
    <row r="10" spans="1:2" x14ac:dyDescent="0.25">
      <c r="A10" s="6">
        <v>1.9696480464966096E-2</v>
      </c>
      <c r="B10" s="7">
        <v>1.1798188454339874E-2</v>
      </c>
    </row>
    <row r="11" spans="1:2" x14ac:dyDescent="0.25">
      <c r="A11" s="8">
        <v>2.2118178882789795E-2</v>
      </c>
      <c r="B11" s="9">
        <v>1.4668566719039905E-2</v>
      </c>
    </row>
    <row r="12" spans="1:2" x14ac:dyDescent="0.25">
      <c r="A12" s="6">
        <v>2.462060058120762E-2</v>
      </c>
      <c r="B12" s="7">
        <v>1.4232123064930637E-2</v>
      </c>
    </row>
    <row r="13" spans="1:2" x14ac:dyDescent="0.25">
      <c r="A13" s="8">
        <v>2.7042298999031322E-2</v>
      </c>
      <c r="B13" s="9">
        <v>1.7169490355610228E-2</v>
      </c>
    </row>
    <row r="14" spans="1:2" x14ac:dyDescent="0.25">
      <c r="A14" s="6">
        <v>2.9544720697449144E-2</v>
      </c>
      <c r="B14" s="7">
        <v>2.0723968673495487E-2</v>
      </c>
    </row>
    <row r="15" spans="1:2" x14ac:dyDescent="0.25">
      <c r="A15" s="8">
        <v>3.2047142395866965E-2</v>
      </c>
      <c r="B15" s="9">
        <v>1.953237599925297E-2</v>
      </c>
    </row>
    <row r="16" spans="1:2" x14ac:dyDescent="0.25">
      <c r="A16" s="6">
        <v>3.430739425250242E-2</v>
      </c>
      <c r="B16" s="7">
        <v>1.7061901919946085E-2</v>
      </c>
    </row>
    <row r="17" spans="1:2" x14ac:dyDescent="0.25">
      <c r="A17" s="8">
        <v>3.6809815950920248E-2</v>
      </c>
      <c r="B17" s="9">
        <v>2.5577628101287407E-2</v>
      </c>
    </row>
    <row r="18" spans="1:2" x14ac:dyDescent="0.25">
      <c r="A18" s="6">
        <v>3.9231514368743947E-2</v>
      </c>
      <c r="B18" s="7">
        <v>2.7236113986902632E-2</v>
      </c>
    </row>
    <row r="19" spans="1:2" x14ac:dyDescent="0.25">
      <c r="A19" s="8">
        <v>4.1733936067161768E-2</v>
      </c>
      <c r="B19" s="9">
        <v>2.6862599417804466E-2</v>
      </c>
    </row>
    <row r="20" spans="1:2" x14ac:dyDescent="0.25">
      <c r="A20" s="6">
        <v>4.4155634484985468E-2</v>
      </c>
      <c r="B20" s="7">
        <v>3.2777933408848235E-2</v>
      </c>
    </row>
    <row r="21" spans="1:2" x14ac:dyDescent="0.25">
      <c r="A21" s="8">
        <v>4.6658056183403296E-2</v>
      </c>
      <c r="B21" s="9">
        <v>3.1068698261127282E-2</v>
      </c>
    </row>
    <row r="22" spans="1:2" x14ac:dyDescent="0.25">
      <c r="A22" s="6">
        <v>4.9160477881821117E-2</v>
      </c>
      <c r="B22" s="7">
        <v>3.3321965498621653E-2</v>
      </c>
    </row>
    <row r="23" spans="1:2" x14ac:dyDescent="0.25">
      <c r="A23" s="8">
        <v>5.1582176299644816E-2</v>
      </c>
      <c r="B23" s="9">
        <v>3.5835068958097349E-2</v>
      </c>
    </row>
    <row r="24" spans="1:2" x14ac:dyDescent="0.25">
      <c r="A24" s="6">
        <v>5.4084597998062645E-2</v>
      </c>
      <c r="B24" s="7">
        <v>4.0363933108412603E-2</v>
      </c>
    </row>
    <row r="25" spans="1:2" x14ac:dyDescent="0.25">
      <c r="A25" s="8">
        <v>5.6506296415886344E-2</v>
      </c>
      <c r="B25" s="9">
        <v>4.2909516095635966E-2</v>
      </c>
    </row>
    <row r="26" spans="1:2" x14ac:dyDescent="0.25">
      <c r="A26" s="6">
        <v>5.9008718114304165E-2</v>
      </c>
      <c r="B26" s="7">
        <v>4.1104872335156244E-2</v>
      </c>
    </row>
    <row r="27" spans="1:2" x14ac:dyDescent="0.25">
      <c r="A27" s="8">
        <v>6.1511139812721986E-2</v>
      </c>
      <c r="B27" s="9">
        <v>4.659797246548035E-2</v>
      </c>
    </row>
    <row r="28" spans="1:2" x14ac:dyDescent="0.25">
      <c r="A28" s="6">
        <v>6.3771391669357441E-2</v>
      </c>
      <c r="B28" s="7">
        <v>5.3205526391646267E-2</v>
      </c>
    </row>
    <row r="29" spans="1:2" x14ac:dyDescent="0.25">
      <c r="A29" s="8">
        <v>6.6273813367775269E-2</v>
      </c>
      <c r="B29" s="9">
        <v>5.3067488398718686E-2</v>
      </c>
    </row>
    <row r="30" spans="1:2" x14ac:dyDescent="0.25">
      <c r="A30" s="6">
        <v>6.8695511785598962E-2</v>
      </c>
      <c r="B30" s="7">
        <v>5.1342013487123896E-2</v>
      </c>
    </row>
    <row r="31" spans="1:2" x14ac:dyDescent="0.25">
      <c r="A31" s="8">
        <v>7.119793348401679E-2</v>
      </c>
      <c r="B31" s="9">
        <v>5.5249706669265028E-2</v>
      </c>
    </row>
    <row r="32" spans="1:2" x14ac:dyDescent="0.25">
      <c r="A32" s="6">
        <v>7.3619631901840496E-2</v>
      </c>
      <c r="B32" s="7">
        <v>5.5609011444973593E-2</v>
      </c>
    </row>
    <row r="33" spans="1:2" x14ac:dyDescent="0.25">
      <c r="A33" s="8">
        <v>7.612205360025831E-2</v>
      </c>
      <c r="B33" s="9">
        <v>6.1329468269531361E-2</v>
      </c>
    </row>
    <row r="34" spans="1:2" x14ac:dyDescent="0.25">
      <c r="A34" s="6">
        <v>7.8624475298676139E-2</v>
      </c>
      <c r="B34" s="7">
        <v>6.4751998505941724E-2</v>
      </c>
    </row>
    <row r="35" spans="1:2" x14ac:dyDescent="0.25">
      <c r="A35" s="8">
        <v>8.1046173716499845E-2</v>
      </c>
      <c r="B35" s="9">
        <v>6.737269040108157E-2</v>
      </c>
    </row>
    <row r="36" spans="1:2" x14ac:dyDescent="0.25">
      <c r="A36" s="6">
        <v>8.3548595414917659E-2</v>
      </c>
      <c r="B36" s="7">
        <v>6.8290237059953143E-2</v>
      </c>
    </row>
    <row r="37" spans="1:2" x14ac:dyDescent="0.25">
      <c r="A37" s="8">
        <v>8.5970293832741365E-2</v>
      </c>
      <c r="B37" s="9">
        <v>6.9116435047034422E-2</v>
      </c>
    </row>
    <row r="38" spans="1:2" x14ac:dyDescent="0.25">
      <c r="A38" s="6">
        <v>8.847271553115918E-2</v>
      </c>
      <c r="B38" s="7">
        <v>7.1081446475768237E-2</v>
      </c>
    </row>
    <row r="39" spans="1:2" x14ac:dyDescent="0.25">
      <c r="A39" s="8">
        <v>9.0975137229577008E-2</v>
      </c>
      <c r="B39" s="9">
        <v>6.5852242508393929E-2</v>
      </c>
    </row>
    <row r="40" spans="1:2" x14ac:dyDescent="0.25">
      <c r="A40" s="6">
        <v>9.323538908621247E-2</v>
      </c>
      <c r="B40" s="7">
        <v>6.9538668907754078E-2</v>
      </c>
    </row>
    <row r="41" spans="1:2" x14ac:dyDescent="0.25">
      <c r="A41" s="8">
        <v>9.5737810784630284E-2</v>
      </c>
      <c r="B41" s="9">
        <v>6.9491979586616806E-2</v>
      </c>
    </row>
    <row r="42" spans="1:2" x14ac:dyDescent="0.25">
      <c r="A42" s="6">
        <v>9.815950920245399E-2</v>
      </c>
      <c r="B42" s="7">
        <v>7.490591086805598E-2</v>
      </c>
    </row>
    <row r="43" spans="1:2" x14ac:dyDescent="0.25">
      <c r="A43" s="8">
        <v>0.10066193090087182</v>
      </c>
      <c r="B43" s="9">
        <v>7.9700701151805248E-2</v>
      </c>
    </row>
    <row r="44" spans="1:2" x14ac:dyDescent="0.25">
      <c r="A44" s="6">
        <v>0.10308362931869551</v>
      </c>
      <c r="B44" s="7">
        <v>7.6933851381800908E-2</v>
      </c>
    </row>
    <row r="45" spans="1:2" x14ac:dyDescent="0.25">
      <c r="A45" s="8">
        <v>0.10558605101711334</v>
      </c>
      <c r="B45" s="9">
        <v>8.0522839197918056E-2</v>
      </c>
    </row>
    <row r="46" spans="1:2" x14ac:dyDescent="0.25">
      <c r="A46" s="6">
        <v>0.10808847271553115</v>
      </c>
      <c r="B46" s="7">
        <v>8.1105440726891825E-2</v>
      </c>
    </row>
    <row r="47" spans="1:2" x14ac:dyDescent="0.25">
      <c r="A47" s="8">
        <v>0.11051017113335486</v>
      </c>
      <c r="B47" s="9">
        <v>7.9759570295847904E-2</v>
      </c>
    </row>
    <row r="48" spans="1:2" x14ac:dyDescent="0.25">
      <c r="A48" s="6">
        <v>0.11301259283177269</v>
      </c>
      <c r="B48" s="7">
        <v>8.567896422786013E-2</v>
      </c>
    </row>
    <row r="49" spans="1:2" x14ac:dyDescent="0.25">
      <c r="A49" s="8">
        <v>0.11543429124959638</v>
      </c>
      <c r="B49" s="9">
        <v>8.6722369056753915E-2</v>
      </c>
    </row>
    <row r="50" spans="1:2" x14ac:dyDescent="0.25">
      <c r="A50" s="6">
        <v>0.11793671294801421</v>
      </c>
      <c r="B50" s="7">
        <v>8.6306225107486936E-2</v>
      </c>
    </row>
    <row r="51" spans="1:2" x14ac:dyDescent="0.25">
      <c r="A51" s="8">
        <v>0.12043913464643204</v>
      </c>
      <c r="B51" s="9">
        <v>9.227433833112067E-2</v>
      </c>
    </row>
    <row r="52" spans="1:2" x14ac:dyDescent="0.25">
      <c r="A52" s="6">
        <v>0.12278010978366161</v>
      </c>
      <c r="B52" s="7">
        <v>9.3616148821196135E-2</v>
      </c>
    </row>
    <row r="53" spans="1:2" x14ac:dyDescent="0.25">
      <c r="A53" s="8">
        <v>0.12528253148207943</v>
      </c>
      <c r="B53" s="9">
        <v>9.6744333337393268E-2</v>
      </c>
    </row>
    <row r="54" spans="1:2" x14ac:dyDescent="0.25">
      <c r="A54" s="6">
        <v>0.12770422989990313</v>
      </c>
      <c r="B54" s="7">
        <v>0.10032926121254197</v>
      </c>
    </row>
    <row r="55" spans="1:2" x14ac:dyDescent="0.25">
      <c r="A55" s="8">
        <v>0.13020665159832095</v>
      </c>
      <c r="B55" s="9">
        <v>9.7113787965522988E-2</v>
      </c>
    </row>
    <row r="56" spans="1:2" x14ac:dyDescent="0.25">
      <c r="A56" s="6">
        <v>0.13262835001614465</v>
      </c>
      <c r="B56" s="7">
        <v>9.9454343933839201E-2</v>
      </c>
    </row>
    <row r="57" spans="1:2" x14ac:dyDescent="0.25">
      <c r="A57" s="8">
        <v>0.13513077171456248</v>
      </c>
      <c r="B57" s="9">
        <v>9.9507123166429165E-2</v>
      </c>
    </row>
    <row r="58" spans="1:2" x14ac:dyDescent="0.25">
      <c r="A58" s="6">
        <v>0.1376331934129803</v>
      </c>
      <c r="B58" s="7">
        <v>0.10389997929430106</v>
      </c>
    </row>
    <row r="59" spans="1:2" x14ac:dyDescent="0.25">
      <c r="A59" s="8">
        <v>0.140054891830804</v>
      </c>
      <c r="B59" s="9">
        <v>0.10819742680941419</v>
      </c>
    </row>
    <row r="60" spans="1:2" x14ac:dyDescent="0.25">
      <c r="A60" s="6">
        <v>0.14255731352922182</v>
      </c>
      <c r="B60" s="7">
        <v>0.10706064333824586</v>
      </c>
    </row>
    <row r="61" spans="1:2" x14ac:dyDescent="0.25">
      <c r="A61" s="8">
        <v>0.14497901194704552</v>
      </c>
      <c r="B61" s="9">
        <v>0.10799036982002282</v>
      </c>
    </row>
    <row r="62" spans="1:2" x14ac:dyDescent="0.25">
      <c r="A62" s="6">
        <v>0.14748143364546334</v>
      </c>
      <c r="B62" s="7">
        <v>0.1123121769809467</v>
      </c>
    </row>
    <row r="63" spans="1:2" x14ac:dyDescent="0.25">
      <c r="A63" s="8">
        <v>0.14998385534388117</v>
      </c>
      <c r="B63" s="9">
        <v>0.11524345436017361</v>
      </c>
    </row>
    <row r="64" spans="1:2" x14ac:dyDescent="0.25">
      <c r="A64" s="6">
        <v>0.15224410720051662</v>
      </c>
      <c r="B64" s="7">
        <v>0.11820924123763241</v>
      </c>
    </row>
    <row r="65" spans="1:2" x14ac:dyDescent="0.25">
      <c r="A65" s="8">
        <v>0.15474652889893445</v>
      </c>
      <c r="B65" s="9">
        <v>0.11183513391715284</v>
      </c>
    </row>
    <row r="66" spans="1:2" x14ac:dyDescent="0.25">
      <c r="A66" s="6">
        <v>0.15716822731675814</v>
      </c>
      <c r="B66" s="7">
        <v>0.11127689203398983</v>
      </c>
    </row>
    <row r="67" spans="1:2" x14ac:dyDescent="0.25">
      <c r="A67" s="8">
        <v>0.15967064901517597</v>
      </c>
      <c r="B67" s="9">
        <v>0.11609604196354985</v>
      </c>
    </row>
    <row r="68" spans="1:2" x14ac:dyDescent="0.25">
      <c r="A68" s="6">
        <v>0.16209234743299969</v>
      </c>
      <c r="B68" s="7">
        <v>0.12104916994506899</v>
      </c>
    </row>
    <row r="69" spans="1:2" x14ac:dyDescent="0.25">
      <c r="A69" s="8">
        <v>0.16459476913141749</v>
      </c>
      <c r="B69" s="9">
        <v>0.1213353957833453</v>
      </c>
    </row>
    <row r="70" spans="1:2" x14ac:dyDescent="0.25">
      <c r="A70" s="6">
        <v>0.16709719082983532</v>
      </c>
      <c r="B70" s="7">
        <v>0.12356836331599738</v>
      </c>
    </row>
    <row r="71" spans="1:2" x14ac:dyDescent="0.25">
      <c r="A71" s="8">
        <v>0.16951888924765904</v>
      </c>
      <c r="B71" s="9">
        <v>0.12369625145650383</v>
      </c>
    </row>
    <row r="72" spans="1:2" x14ac:dyDescent="0.25">
      <c r="A72" s="6">
        <v>0.17202131094607684</v>
      </c>
      <c r="B72" s="7">
        <v>0.12313394963237234</v>
      </c>
    </row>
    <row r="73" spans="1:2" x14ac:dyDescent="0.25">
      <c r="A73" s="8">
        <v>0.17444300936390056</v>
      </c>
      <c r="B73" s="9">
        <v>0.12528368837517104</v>
      </c>
    </row>
    <row r="74" spans="1:2" x14ac:dyDescent="0.25">
      <c r="A74" s="6">
        <v>0.17694543106231836</v>
      </c>
      <c r="B74" s="7">
        <v>0.12663970865863611</v>
      </c>
    </row>
    <row r="75" spans="1:2" x14ac:dyDescent="0.25">
      <c r="A75" s="8">
        <v>0.17944785276073619</v>
      </c>
      <c r="B75" s="9">
        <v>0.12603477745433581</v>
      </c>
    </row>
    <row r="76" spans="1:2" x14ac:dyDescent="0.25">
      <c r="A76" s="6">
        <v>0.18170810461737166</v>
      </c>
      <c r="B76" s="7">
        <v>0.12827586486892481</v>
      </c>
    </row>
    <row r="77" spans="1:2" x14ac:dyDescent="0.25">
      <c r="A77" s="8">
        <v>0.18421052631578946</v>
      </c>
      <c r="B77" s="9">
        <v>0.13512092534174552</v>
      </c>
    </row>
    <row r="78" spans="1:2" x14ac:dyDescent="0.25">
      <c r="A78" s="6">
        <v>0.18663222473361318</v>
      </c>
      <c r="B78" s="7">
        <v>0.13609937111514397</v>
      </c>
    </row>
    <row r="79" spans="1:2" x14ac:dyDescent="0.25">
      <c r="A79" s="8">
        <v>0.18913464643203098</v>
      </c>
      <c r="B79" s="9">
        <v>0.14027502040120338</v>
      </c>
    </row>
    <row r="80" spans="1:2" x14ac:dyDescent="0.25">
      <c r="A80" s="6">
        <v>0.1915563448498547</v>
      </c>
      <c r="B80" s="7">
        <v>0.13710014656386896</v>
      </c>
    </row>
    <row r="81" spans="1:2" x14ac:dyDescent="0.25">
      <c r="A81" s="8">
        <v>0.19405876654827253</v>
      </c>
      <c r="B81" s="9">
        <v>0.13320057326366475</v>
      </c>
    </row>
    <row r="82" spans="1:2" x14ac:dyDescent="0.25">
      <c r="A82" s="6">
        <v>0.19656118824669033</v>
      </c>
      <c r="B82" s="7">
        <v>0.13802175316370899</v>
      </c>
    </row>
    <row r="83" spans="1:2" x14ac:dyDescent="0.25">
      <c r="A83" s="8">
        <v>0.19898288666451405</v>
      </c>
      <c r="B83" s="9">
        <v>0.14549610448664077</v>
      </c>
    </row>
    <row r="84" spans="1:2" x14ac:dyDescent="0.25">
      <c r="A84" s="6">
        <v>0.20148530836293188</v>
      </c>
      <c r="B84" s="7">
        <v>0.14833806316456158</v>
      </c>
    </row>
    <row r="85" spans="1:2" x14ac:dyDescent="0.25">
      <c r="A85" s="8">
        <v>0.20390700678075557</v>
      </c>
      <c r="B85" s="9">
        <v>0.1528080581708342</v>
      </c>
    </row>
    <row r="86" spans="1:2" x14ac:dyDescent="0.25">
      <c r="A86" s="6">
        <v>0.2064094284791734</v>
      </c>
      <c r="B86" s="7">
        <v>0.15389206240941256</v>
      </c>
    </row>
    <row r="87" spans="1:2" x14ac:dyDescent="0.25">
      <c r="A87" s="8">
        <v>0.20891185017759123</v>
      </c>
      <c r="B87" s="9">
        <v>0.15965514861413915</v>
      </c>
    </row>
    <row r="88" spans="1:2" x14ac:dyDescent="0.25">
      <c r="A88" s="6">
        <v>0.21117210203422668</v>
      </c>
      <c r="B88" s="7">
        <v>0.16255800640658685</v>
      </c>
    </row>
    <row r="89" spans="1:2" x14ac:dyDescent="0.25">
      <c r="A89" s="8">
        <v>0.21367452373264451</v>
      </c>
      <c r="B89" s="9">
        <v>0.16588309805975421</v>
      </c>
    </row>
    <row r="90" spans="1:2" x14ac:dyDescent="0.25">
      <c r="A90" s="6">
        <v>0.2160962221504682</v>
      </c>
      <c r="B90" s="7">
        <v>0.16941524670231295</v>
      </c>
    </row>
    <row r="91" spans="1:2" x14ac:dyDescent="0.25">
      <c r="A91" s="8">
        <v>0.21859864384888603</v>
      </c>
      <c r="B91" s="9">
        <v>0.17123613022666651</v>
      </c>
    </row>
    <row r="92" spans="1:2" x14ac:dyDescent="0.25">
      <c r="A92" s="6">
        <v>0.22102034226670972</v>
      </c>
      <c r="B92" s="7">
        <v>0.17519457267091337</v>
      </c>
    </row>
    <row r="93" spans="1:2" x14ac:dyDescent="0.25">
      <c r="A93" s="8">
        <v>0.22352276396512755</v>
      </c>
      <c r="B93" s="9">
        <v>0.18022483953083321</v>
      </c>
    </row>
    <row r="94" spans="1:2" x14ac:dyDescent="0.25">
      <c r="A94" s="6">
        <v>0.22602518566354537</v>
      </c>
      <c r="B94" s="7">
        <v>0.18227510971990468</v>
      </c>
    </row>
    <row r="95" spans="1:2" x14ac:dyDescent="0.25">
      <c r="A95" s="8">
        <v>0.22844688408136907</v>
      </c>
      <c r="B95" s="9">
        <v>0.18093938914128188</v>
      </c>
    </row>
    <row r="96" spans="1:2" x14ac:dyDescent="0.25">
      <c r="A96" s="6">
        <v>0.2309493057797869</v>
      </c>
      <c r="B96" s="7">
        <v>0.18737642554677256</v>
      </c>
    </row>
    <row r="97" spans="1:2" x14ac:dyDescent="0.25">
      <c r="A97" s="8">
        <v>0.23337100419761059</v>
      </c>
      <c r="B97" s="9">
        <v>0.19785919312733194</v>
      </c>
    </row>
    <row r="98" spans="1:2" x14ac:dyDescent="0.25">
      <c r="A98" s="6">
        <v>0.23587342589602842</v>
      </c>
      <c r="B98" s="7">
        <v>0.1937018135756306</v>
      </c>
    </row>
    <row r="99" spans="1:2" x14ac:dyDescent="0.25">
      <c r="A99" s="8">
        <v>0.23837584759444624</v>
      </c>
      <c r="B99" s="9">
        <v>0.20182169551254725</v>
      </c>
    </row>
    <row r="100" spans="1:2" x14ac:dyDescent="0.25">
      <c r="A100" s="6">
        <v>0.24071682273167583</v>
      </c>
      <c r="B100" s="7">
        <v>0.2078953672013609</v>
      </c>
    </row>
    <row r="101" spans="1:2" x14ac:dyDescent="0.25">
      <c r="A101" s="8">
        <v>0.24321924443009363</v>
      </c>
      <c r="B101" s="9">
        <v>0.19778408421941546</v>
      </c>
    </row>
    <row r="102" spans="1:2" x14ac:dyDescent="0.25">
      <c r="A102" s="6">
        <v>0.24564094284791735</v>
      </c>
      <c r="B102" s="7">
        <v>0.2018318453649684</v>
      </c>
    </row>
    <row r="103" spans="1:2" x14ac:dyDescent="0.25">
      <c r="A103" s="8">
        <v>0.24814336454633518</v>
      </c>
      <c r="B103" s="9">
        <v>0.20524219577847339</v>
      </c>
    </row>
    <row r="104" spans="1:2" x14ac:dyDescent="0.25">
      <c r="A104" s="6">
        <v>0.25056506296415887</v>
      </c>
      <c r="B104" s="7">
        <v>0.20068085210041045</v>
      </c>
    </row>
    <row r="105" spans="1:2" x14ac:dyDescent="0.25">
      <c r="A105" s="8">
        <v>0.25306748466257667</v>
      </c>
      <c r="B105" s="9">
        <v>0.2033989825787933</v>
      </c>
    </row>
    <row r="106" spans="1:2" x14ac:dyDescent="0.25">
      <c r="A106" s="6">
        <v>0.25556990636099453</v>
      </c>
      <c r="B106" s="7">
        <v>0.20989894806929507</v>
      </c>
    </row>
    <row r="107" spans="1:2" x14ac:dyDescent="0.25">
      <c r="A107" s="8">
        <v>0.25799160477881822</v>
      </c>
      <c r="B107" s="9">
        <v>0.20965332164070336</v>
      </c>
    </row>
    <row r="108" spans="1:2" x14ac:dyDescent="0.25">
      <c r="A108" s="6">
        <v>0.26049402647723602</v>
      </c>
      <c r="B108" s="7">
        <v>0.20650077747869547</v>
      </c>
    </row>
    <row r="109" spans="1:2" x14ac:dyDescent="0.25">
      <c r="A109" s="8">
        <v>0.26291572489505971</v>
      </c>
      <c r="B109" s="9">
        <v>0.206496717537727</v>
      </c>
    </row>
    <row r="110" spans="1:2" x14ac:dyDescent="0.25">
      <c r="A110" s="6">
        <v>0.26541814659347757</v>
      </c>
      <c r="B110" s="7">
        <v>0.21359146438010793</v>
      </c>
    </row>
    <row r="111" spans="1:2" x14ac:dyDescent="0.25">
      <c r="A111" s="8">
        <v>0.26792056829189537</v>
      </c>
      <c r="B111" s="9">
        <v>0.21348996585589647</v>
      </c>
    </row>
    <row r="112" spans="1:2" x14ac:dyDescent="0.25">
      <c r="A112" s="6">
        <v>0.27018082014853084</v>
      </c>
      <c r="B112" s="7">
        <v>0.20785679776216054</v>
      </c>
    </row>
    <row r="113" spans="1:2" x14ac:dyDescent="0.25">
      <c r="A113" s="8">
        <v>0.27268324184694864</v>
      </c>
      <c r="B113" s="9">
        <v>0.21719263201913044</v>
      </c>
    </row>
    <row r="114" spans="1:2" x14ac:dyDescent="0.25">
      <c r="A114" s="6">
        <v>0.27510494026477234</v>
      </c>
      <c r="B114" s="7">
        <v>0.21950070845969899</v>
      </c>
    </row>
    <row r="115" spans="1:2" x14ac:dyDescent="0.25">
      <c r="A115" s="8">
        <v>0.27760736196319019</v>
      </c>
      <c r="B115" s="9">
        <v>0.21663033019499897</v>
      </c>
    </row>
    <row r="116" spans="1:2" x14ac:dyDescent="0.25">
      <c r="A116" s="6">
        <v>0.28002906038101388</v>
      </c>
      <c r="B116" s="7">
        <v>0.21358537446865522</v>
      </c>
    </row>
    <row r="117" spans="1:2" x14ac:dyDescent="0.25">
      <c r="A117" s="8">
        <v>0.28253148207943168</v>
      </c>
      <c r="B117" s="9">
        <v>0.21816092794010775</v>
      </c>
    </row>
    <row r="118" spans="1:2" x14ac:dyDescent="0.25">
      <c r="A118" s="6">
        <v>0.28503390377784954</v>
      </c>
      <c r="B118" s="7">
        <v>0.20504731861198738</v>
      </c>
    </row>
    <row r="119" spans="1:2" x14ac:dyDescent="0.25">
      <c r="A119" s="8">
        <v>0.28745560219567323</v>
      </c>
      <c r="B119" s="9">
        <v>0.24510269620679714</v>
      </c>
    </row>
    <row r="120" spans="1:2" x14ac:dyDescent="0.25">
      <c r="A120" s="6">
        <v>0.28995802389409103</v>
      </c>
      <c r="B120" s="7">
        <v>0.22728361529623359</v>
      </c>
    </row>
    <row r="121" spans="1:2" x14ac:dyDescent="0.25">
      <c r="A121" s="8">
        <v>0.29237972231191478</v>
      </c>
      <c r="B121" s="9">
        <v>0.21874758941004999</v>
      </c>
    </row>
    <row r="122" spans="1:2" x14ac:dyDescent="0.25">
      <c r="A122" s="6">
        <v>0.29488214401033258</v>
      </c>
      <c r="B122" s="7">
        <v>0.2202172880406319</v>
      </c>
    </row>
    <row r="123" spans="1:2" x14ac:dyDescent="0.25">
      <c r="A123" s="8">
        <v>0.29738456570875038</v>
      </c>
      <c r="B123" s="9">
        <v>0.22361951857219997</v>
      </c>
    </row>
    <row r="124" spans="1:2" x14ac:dyDescent="0.25">
      <c r="A124" s="6">
        <v>0.29964481756538586</v>
      </c>
      <c r="B124" s="7">
        <v>0.22212343032532306</v>
      </c>
    </row>
    <row r="125" spans="1:2" x14ac:dyDescent="0.25">
      <c r="A125" s="8">
        <v>0.30214723926380366</v>
      </c>
      <c r="B125" s="9">
        <v>0.22821537174849477</v>
      </c>
    </row>
    <row r="126" spans="1:2" x14ac:dyDescent="0.25">
      <c r="A126" s="6">
        <v>0.30456893768162741</v>
      </c>
      <c r="B126" s="7">
        <v>0.22384484529594939</v>
      </c>
    </row>
    <row r="127" spans="1:2" x14ac:dyDescent="0.25">
      <c r="A127" s="8">
        <v>0.30707135938004521</v>
      </c>
      <c r="B127" s="9">
        <v>0.22640666804704659</v>
      </c>
    </row>
    <row r="128" spans="1:2" x14ac:dyDescent="0.25">
      <c r="A128" s="6">
        <v>0.3094930577978689</v>
      </c>
      <c r="B128" s="7">
        <v>0.2338911692223995</v>
      </c>
    </row>
    <row r="129" spans="1:2" x14ac:dyDescent="0.25">
      <c r="A129" s="8">
        <v>0.31199547949628675</v>
      </c>
      <c r="B129" s="9">
        <v>0.23736444872091561</v>
      </c>
    </row>
    <row r="130" spans="1:2" x14ac:dyDescent="0.25">
      <c r="A130" s="6">
        <v>0.31449790119470455</v>
      </c>
      <c r="B130" s="7">
        <v>0.22727752538478091</v>
      </c>
    </row>
    <row r="131" spans="1:2" x14ac:dyDescent="0.25">
      <c r="A131" s="8">
        <v>0.31691959961252825</v>
      </c>
      <c r="B131" s="9">
        <v>0.23143896487745069</v>
      </c>
    </row>
    <row r="132" spans="1:2" x14ac:dyDescent="0.25">
      <c r="A132" s="6">
        <v>0.3194220213109461</v>
      </c>
      <c r="B132" s="7">
        <v>0.23188352841349688</v>
      </c>
    </row>
    <row r="133" spans="1:2" x14ac:dyDescent="0.25">
      <c r="A133" s="8">
        <v>0.32184371972876979</v>
      </c>
      <c r="B133" s="9">
        <v>0.23768112411645534</v>
      </c>
    </row>
    <row r="134" spans="1:2" x14ac:dyDescent="0.25">
      <c r="A134" s="6">
        <v>0.3243461414271876</v>
      </c>
      <c r="B134" s="7">
        <v>0.24212269953594875</v>
      </c>
    </row>
    <row r="135" spans="1:2" x14ac:dyDescent="0.25">
      <c r="A135" s="8">
        <v>0.32684856312560545</v>
      </c>
      <c r="B135" s="9">
        <v>0.2342809235553715</v>
      </c>
    </row>
    <row r="136" spans="1:2" x14ac:dyDescent="0.25">
      <c r="A136" s="6">
        <v>0.32910881498224087</v>
      </c>
      <c r="B136" s="7">
        <v>0.24044188397500701</v>
      </c>
    </row>
    <row r="137" spans="1:2" x14ac:dyDescent="0.25">
      <c r="A137" s="8">
        <v>0.33161123668065873</v>
      </c>
      <c r="B137" s="9">
        <v>0.2420841300967484</v>
      </c>
    </row>
    <row r="138" spans="1:2" x14ac:dyDescent="0.25">
      <c r="A138" s="6">
        <v>0.33403293509848242</v>
      </c>
      <c r="B138" s="7">
        <v>0.24211863959498028</v>
      </c>
    </row>
    <row r="139" spans="1:2" x14ac:dyDescent="0.25">
      <c r="A139" s="8">
        <v>0.33653535679690022</v>
      </c>
      <c r="B139" s="9">
        <v>0.25011469333235897</v>
      </c>
    </row>
    <row r="140" spans="1:2" x14ac:dyDescent="0.25">
      <c r="A140" s="6">
        <v>0.33895705521472391</v>
      </c>
      <c r="B140" s="7">
        <v>0.25488918391126592</v>
      </c>
    </row>
    <row r="141" spans="1:2" x14ac:dyDescent="0.25">
      <c r="A141" s="8">
        <v>0.34145947691314177</v>
      </c>
      <c r="B141" s="9">
        <v>0.26083496745957313</v>
      </c>
    </row>
    <row r="142" spans="1:2" x14ac:dyDescent="0.25">
      <c r="A142" s="6">
        <v>0.34396189861155957</v>
      </c>
      <c r="B142" s="7">
        <v>0.26002297926588147</v>
      </c>
    </row>
    <row r="143" spans="1:2" x14ac:dyDescent="0.25">
      <c r="A143" s="8">
        <v>0.34638359702938326</v>
      </c>
      <c r="B143" s="9">
        <v>0.25768445326804951</v>
      </c>
    </row>
    <row r="144" spans="1:2" x14ac:dyDescent="0.25">
      <c r="A144" s="6">
        <v>0.34888601872780112</v>
      </c>
      <c r="B144" s="7">
        <v>0.25991945077118578</v>
      </c>
    </row>
    <row r="145" spans="1:2" x14ac:dyDescent="0.25">
      <c r="A145" s="8">
        <v>0.35130771714562481</v>
      </c>
      <c r="B145" s="9">
        <v>0.26273907977378008</v>
      </c>
    </row>
    <row r="146" spans="1:2" x14ac:dyDescent="0.25">
      <c r="A146" s="6">
        <v>0.35381013884404261</v>
      </c>
      <c r="B146" s="7">
        <v>0.26459650276684976</v>
      </c>
    </row>
    <row r="147" spans="1:2" x14ac:dyDescent="0.25">
      <c r="A147" s="8">
        <v>0.35631256054246047</v>
      </c>
      <c r="B147" s="9">
        <v>0.26844329683446405</v>
      </c>
    </row>
    <row r="148" spans="1:2" x14ac:dyDescent="0.25">
      <c r="A148" s="6">
        <v>0.35865353567969005</v>
      </c>
      <c r="B148" s="7">
        <v>0.2792670994563739</v>
      </c>
    </row>
    <row r="149" spans="1:2" x14ac:dyDescent="0.25">
      <c r="A149" s="8">
        <v>0.36115595737810785</v>
      </c>
      <c r="B149" s="9">
        <v>0.27507115046547226</v>
      </c>
    </row>
    <row r="150" spans="1:2" x14ac:dyDescent="0.25">
      <c r="A150" s="6">
        <v>0.36357765579593154</v>
      </c>
      <c r="B150" s="7">
        <v>0.28249272255581404</v>
      </c>
    </row>
    <row r="151" spans="1:2" x14ac:dyDescent="0.25">
      <c r="A151" s="8">
        <v>0.36608007749434934</v>
      </c>
      <c r="B151" s="9">
        <v>0.27814858571956363</v>
      </c>
    </row>
    <row r="152" spans="1:2" x14ac:dyDescent="0.25">
      <c r="A152" s="6">
        <v>0.36850177591217309</v>
      </c>
      <c r="B152" s="7">
        <v>0.28263279051922585</v>
      </c>
    </row>
    <row r="153" spans="1:2" x14ac:dyDescent="0.25">
      <c r="A153" s="8">
        <v>0.37100419761059089</v>
      </c>
      <c r="B153" s="9">
        <v>0.28193448067265103</v>
      </c>
    </row>
    <row r="154" spans="1:2" x14ac:dyDescent="0.25">
      <c r="A154" s="6">
        <v>0.37350661930900869</v>
      </c>
      <c r="B154" s="7">
        <v>0.29383010771023388</v>
      </c>
    </row>
    <row r="155" spans="1:2" x14ac:dyDescent="0.25">
      <c r="A155" s="8">
        <v>0.37592831772683244</v>
      </c>
      <c r="B155" s="9">
        <v>0.29552310309408103</v>
      </c>
    </row>
    <row r="156" spans="1:2" x14ac:dyDescent="0.25">
      <c r="A156" s="6">
        <v>0.37843073942525024</v>
      </c>
      <c r="B156" s="7">
        <v>0.29954041468237053</v>
      </c>
    </row>
    <row r="157" spans="1:2" x14ac:dyDescent="0.25">
      <c r="A157" s="8">
        <v>0.38085243784307393</v>
      </c>
      <c r="B157" s="9">
        <v>0.30709596482467144</v>
      </c>
    </row>
    <row r="158" spans="1:2" x14ac:dyDescent="0.25">
      <c r="A158" s="6">
        <v>0.38335485954149179</v>
      </c>
      <c r="B158" s="7">
        <v>0.30041736193155749</v>
      </c>
    </row>
    <row r="159" spans="1:2" x14ac:dyDescent="0.25">
      <c r="A159" s="8">
        <v>0.38585728123990959</v>
      </c>
      <c r="B159" s="9">
        <v>0.30772322570429828</v>
      </c>
    </row>
    <row r="160" spans="1:2" x14ac:dyDescent="0.25">
      <c r="A160" s="6">
        <v>0.38811753309654506</v>
      </c>
      <c r="B160" s="7">
        <v>0.30982018521450699</v>
      </c>
    </row>
    <row r="161" spans="1:2" x14ac:dyDescent="0.25">
      <c r="A161" s="8">
        <v>0.39061995479496286</v>
      </c>
      <c r="B161" s="9">
        <v>0.31471241408149925</v>
      </c>
    </row>
    <row r="162" spans="1:2" x14ac:dyDescent="0.25">
      <c r="A162" s="6">
        <v>0.39304165321278656</v>
      </c>
      <c r="B162" s="7">
        <v>0.31097929836100185</v>
      </c>
    </row>
    <row r="163" spans="1:2" x14ac:dyDescent="0.25">
      <c r="A163" s="8">
        <v>0.39554407491120441</v>
      </c>
      <c r="B163" s="9">
        <v>0.33081008002143647</v>
      </c>
    </row>
    <row r="164" spans="1:2" x14ac:dyDescent="0.25">
      <c r="A164" s="6">
        <v>0.39796577332902811</v>
      </c>
      <c r="B164" s="7">
        <v>0.33535112399465711</v>
      </c>
    </row>
    <row r="165" spans="1:2" x14ac:dyDescent="0.25">
      <c r="A165" s="8">
        <v>0.40046819502744591</v>
      </c>
      <c r="B165" s="9">
        <v>0.32702012512738066</v>
      </c>
    </row>
    <row r="166" spans="1:2" x14ac:dyDescent="0.25">
      <c r="A166" s="6">
        <v>0.40297061672586376</v>
      </c>
      <c r="B166" s="7">
        <v>0.32899122646756718</v>
      </c>
    </row>
    <row r="167" spans="1:2" x14ac:dyDescent="0.25">
      <c r="A167" s="8">
        <v>0.40539231514368745</v>
      </c>
      <c r="B167" s="9">
        <v>0.32858929231168976</v>
      </c>
    </row>
    <row r="168" spans="1:2" x14ac:dyDescent="0.25">
      <c r="A168" s="6">
        <v>0.40789473684210525</v>
      </c>
      <c r="B168" s="7">
        <v>0.33382052624954833</v>
      </c>
    </row>
    <row r="169" spans="1:2" x14ac:dyDescent="0.25">
      <c r="A169" s="8">
        <v>0.41031643525992895</v>
      </c>
      <c r="B169" s="9">
        <v>0.3341392316155723</v>
      </c>
    </row>
    <row r="170" spans="1:2" x14ac:dyDescent="0.25">
      <c r="A170" s="6">
        <v>0.4128188569583468</v>
      </c>
      <c r="B170" s="7">
        <v>0.35209026060761078</v>
      </c>
    </row>
    <row r="171" spans="1:2" x14ac:dyDescent="0.25">
      <c r="A171" s="8">
        <v>0.4153212786567646</v>
      </c>
      <c r="B171" s="9">
        <v>0.34777454335813957</v>
      </c>
    </row>
    <row r="172" spans="1:2" x14ac:dyDescent="0.25">
      <c r="A172" s="6">
        <v>0.41758153051340008</v>
      </c>
      <c r="B172" s="7">
        <v>0.34986744292737981</v>
      </c>
    </row>
    <row r="173" spans="1:2" x14ac:dyDescent="0.25">
      <c r="A173" s="8">
        <v>0.42008395221181788</v>
      </c>
      <c r="B173" s="9">
        <v>0.35316208502328378</v>
      </c>
    </row>
    <row r="174" spans="1:2" x14ac:dyDescent="0.25">
      <c r="A174" s="6">
        <v>0.42250565062964157</v>
      </c>
      <c r="B174" s="7">
        <v>0.35077686970431449</v>
      </c>
    </row>
    <row r="175" spans="1:2" x14ac:dyDescent="0.25">
      <c r="A175" s="8">
        <v>0.42500807232805943</v>
      </c>
      <c r="B175" s="9">
        <v>0.35495657893134236</v>
      </c>
    </row>
    <row r="176" spans="1:2" x14ac:dyDescent="0.25">
      <c r="A176" s="6">
        <v>0.42742977074588312</v>
      </c>
      <c r="B176" s="7">
        <v>0.35699872923847686</v>
      </c>
    </row>
    <row r="177" spans="1:2" x14ac:dyDescent="0.25">
      <c r="A177" s="8">
        <v>0.42993219244430092</v>
      </c>
      <c r="B177" s="9">
        <v>0.35865924509457631</v>
      </c>
    </row>
    <row r="178" spans="1:2" x14ac:dyDescent="0.25">
      <c r="A178" s="6">
        <v>0.43243461414271878</v>
      </c>
      <c r="B178" s="7">
        <v>0.35378325599145788</v>
      </c>
    </row>
    <row r="179" spans="1:2" x14ac:dyDescent="0.25">
      <c r="A179" s="8">
        <v>0.43485631256054247</v>
      </c>
      <c r="B179" s="9">
        <v>0.35326561351797947</v>
      </c>
    </row>
    <row r="180" spans="1:2" x14ac:dyDescent="0.25">
      <c r="A180" s="6">
        <v>0.43735873425896027</v>
      </c>
      <c r="B180" s="7">
        <v>0.35525092465155556</v>
      </c>
    </row>
    <row r="181" spans="1:2" x14ac:dyDescent="0.25">
      <c r="A181" s="8">
        <v>0.43978043267678396</v>
      </c>
      <c r="B181" s="9">
        <v>0.36172450052576238</v>
      </c>
    </row>
    <row r="182" spans="1:2" x14ac:dyDescent="0.25">
      <c r="A182" s="6">
        <v>0.44228285437520182</v>
      </c>
      <c r="B182" s="7">
        <v>0.36171029073237276</v>
      </c>
    </row>
    <row r="183" spans="1:2" x14ac:dyDescent="0.25">
      <c r="A183" s="8">
        <v>0.44478527607361962</v>
      </c>
      <c r="B183" s="9">
        <v>0.36400212740906746</v>
      </c>
    </row>
    <row r="184" spans="1:2" x14ac:dyDescent="0.25">
      <c r="A184" s="6">
        <v>0.44704552793025509</v>
      </c>
      <c r="B184" s="7">
        <v>0.3686182802902046</v>
      </c>
    </row>
    <row r="185" spans="1:2" x14ac:dyDescent="0.25">
      <c r="A185" s="8">
        <v>0.44954794962867289</v>
      </c>
      <c r="B185" s="9">
        <v>0.36693340478829439</v>
      </c>
    </row>
    <row r="186" spans="1:2" x14ac:dyDescent="0.25">
      <c r="A186" s="6">
        <v>0.45196964804649659</v>
      </c>
      <c r="B186" s="7">
        <v>0.37584091527309194</v>
      </c>
    </row>
    <row r="187" spans="1:2" x14ac:dyDescent="0.25">
      <c r="A187" s="8">
        <v>0.45447206974491444</v>
      </c>
      <c r="B187" s="9">
        <v>0.3693653094284009</v>
      </c>
    </row>
    <row r="188" spans="1:2" x14ac:dyDescent="0.25">
      <c r="A188" s="6">
        <v>0.45689376816273813</v>
      </c>
      <c r="B188" s="7">
        <v>0.37216463872615291</v>
      </c>
    </row>
    <row r="189" spans="1:2" x14ac:dyDescent="0.25">
      <c r="A189" s="8">
        <v>0.45939618986115593</v>
      </c>
      <c r="B189" s="9">
        <v>0.3762022500192847</v>
      </c>
    </row>
    <row r="190" spans="1:2" x14ac:dyDescent="0.25">
      <c r="A190" s="6">
        <v>0.46189861155957379</v>
      </c>
      <c r="B190" s="7">
        <v>0.37868693389198121</v>
      </c>
    </row>
    <row r="191" spans="1:2" x14ac:dyDescent="0.25">
      <c r="A191" s="8">
        <v>0.46432030997739748</v>
      </c>
      <c r="B191" s="9">
        <v>0.38249515852039512</v>
      </c>
    </row>
    <row r="192" spans="1:2" x14ac:dyDescent="0.25">
      <c r="A192" s="6">
        <v>0.46682273167581528</v>
      </c>
      <c r="B192" s="7">
        <v>0.38955336589405992</v>
      </c>
    </row>
    <row r="193" spans="1:2" x14ac:dyDescent="0.25">
      <c r="A193" s="8">
        <v>0.46924443009363903</v>
      </c>
      <c r="B193" s="9">
        <v>0.37988664644816067</v>
      </c>
    </row>
    <row r="194" spans="1:2" x14ac:dyDescent="0.25">
      <c r="A194" s="6">
        <v>0.47174685179205683</v>
      </c>
      <c r="B194" s="7">
        <v>0.38236118046843598</v>
      </c>
    </row>
    <row r="195" spans="1:2" x14ac:dyDescent="0.25">
      <c r="A195" s="8">
        <v>0.47424927349047463</v>
      </c>
      <c r="B195" s="9">
        <v>0.3770649874750821</v>
      </c>
    </row>
    <row r="196" spans="1:2" x14ac:dyDescent="0.25">
      <c r="A196" s="6">
        <v>0.47659024862770422</v>
      </c>
      <c r="B196" s="7">
        <v>0.37833168905724113</v>
      </c>
    </row>
    <row r="197" spans="1:2" x14ac:dyDescent="0.25">
      <c r="A197" s="8">
        <v>0.47909267032612207</v>
      </c>
      <c r="B197" s="9">
        <v>0.37740602251643263</v>
      </c>
    </row>
    <row r="198" spans="1:2" x14ac:dyDescent="0.25">
      <c r="A198" s="6">
        <v>0.48151436874394576</v>
      </c>
      <c r="B198" s="7">
        <v>0.38359946246381577</v>
      </c>
    </row>
    <row r="199" spans="1:2" x14ac:dyDescent="0.25">
      <c r="A199" s="8">
        <v>0.48401679044236356</v>
      </c>
      <c r="B199" s="9">
        <v>0.38497172251115469</v>
      </c>
    </row>
    <row r="200" spans="1:2" x14ac:dyDescent="0.25">
      <c r="A200" s="6">
        <v>0.48643848886018726</v>
      </c>
      <c r="B200" s="7">
        <v>0.38200187569272742</v>
      </c>
    </row>
    <row r="201" spans="1:2" x14ac:dyDescent="0.25">
      <c r="A201" s="8">
        <v>0.48894091055860511</v>
      </c>
      <c r="B201" s="9">
        <v>0.37590181438761883</v>
      </c>
    </row>
    <row r="202" spans="1:2" x14ac:dyDescent="0.25">
      <c r="A202" s="6">
        <v>0.49144333225702291</v>
      </c>
      <c r="B202" s="7">
        <v>0.3642741434539542</v>
      </c>
    </row>
    <row r="203" spans="1:2" x14ac:dyDescent="0.25">
      <c r="A203" s="8">
        <v>0.49386503067484661</v>
      </c>
      <c r="B203" s="9">
        <v>0.33869651535266676</v>
      </c>
    </row>
    <row r="204" spans="1:2" x14ac:dyDescent="0.25">
      <c r="A204" s="6">
        <v>0.49636745237326446</v>
      </c>
      <c r="B204" s="7">
        <v>0.31114575594070865</v>
      </c>
    </row>
    <row r="205" spans="1:2" x14ac:dyDescent="0.25">
      <c r="A205" s="8">
        <v>0.49878915079108815</v>
      </c>
      <c r="B205" s="9">
        <v>0.29526123690161543</v>
      </c>
    </row>
    <row r="206" spans="1:2" x14ac:dyDescent="0.25">
      <c r="A206" s="6">
        <v>0.50129157248950595</v>
      </c>
      <c r="B206" s="7">
        <v>0.30516343292368531</v>
      </c>
    </row>
    <row r="207" spans="1:2" x14ac:dyDescent="0.25">
      <c r="A207" s="8">
        <v>0.50379399418792381</v>
      </c>
      <c r="B207" s="9">
        <v>0.30309286302977156</v>
      </c>
    </row>
    <row r="208" spans="1:2" x14ac:dyDescent="0.25">
      <c r="A208" s="6">
        <v>0.50605424604455929</v>
      </c>
      <c r="B208" s="7">
        <v>0.29211681262154449</v>
      </c>
    </row>
    <row r="209" spans="1:2" x14ac:dyDescent="0.25">
      <c r="A209" s="8">
        <v>0.50855666774297703</v>
      </c>
      <c r="B209" s="9">
        <v>0.29517800811176204</v>
      </c>
    </row>
    <row r="210" spans="1:2" x14ac:dyDescent="0.25">
      <c r="A210" s="6">
        <v>0.51097836616080072</v>
      </c>
      <c r="B210" s="7">
        <v>0.30062847886191735</v>
      </c>
    </row>
    <row r="211" spans="1:2" x14ac:dyDescent="0.25">
      <c r="A211" s="8">
        <v>0.51348078785921858</v>
      </c>
      <c r="B211" s="9">
        <v>0.31127161411073084</v>
      </c>
    </row>
    <row r="212" spans="1:2" x14ac:dyDescent="0.25">
      <c r="A212" s="6">
        <v>0.51590248627704227</v>
      </c>
      <c r="B212" s="7">
        <v>0.31425567072254768</v>
      </c>
    </row>
    <row r="213" spans="1:2" x14ac:dyDescent="0.25">
      <c r="A213" s="8">
        <v>0.51840490797546013</v>
      </c>
      <c r="B213" s="9">
        <v>0.32631978531032158</v>
      </c>
    </row>
    <row r="214" spans="1:2" x14ac:dyDescent="0.25">
      <c r="A214" s="6">
        <v>0.52090732967387798</v>
      </c>
      <c r="B214" s="7">
        <v>0.3092233738921436</v>
      </c>
    </row>
    <row r="215" spans="1:2" x14ac:dyDescent="0.25">
      <c r="A215" s="8">
        <v>0.52332902809170168</v>
      </c>
      <c r="B215" s="9">
        <v>0.31656780710408472</v>
      </c>
    </row>
    <row r="216" spans="1:2" x14ac:dyDescent="0.25">
      <c r="A216" s="6">
        <v>0.52583144979011942</v>
      </c>
      <c r="B216" s="7">
        <v>0.32167521284240524</v>
      </c>
    </row>
    <row r="217" spans="1:2" x14ac:dyDescent="0.25">
      <c r="A217" s="8">
        <v>0.52825314820794322</v>
      </c>
      <c r="B217" s="9">
        <v>0.32446845222870457</v>
      </c>
    </row>
    <row r="218" spans="1:2" x14ac:dyDescent="0.25">
      <c r="A218" s="6">
        <v>0.53075556990636097</v>
      </c>
      <c r="B218" s="7">
        <v>0.32521142142593246</v>
      </c>
    </row>
    <row r="219" spans="1:2" x14ac:dyDescent="0.25">
      <c r="A219" s="8">
        <v>0.53325799160477882</v>
      </c>
      <c r="B219" s="9">
        <v>0.32518097186866901</v>
      </c>
    </row>
    <row r="220" spans="1:2" x14ac:dyDescent="0.25">
      <c r="A220" s="6">
        <v>0.5355182434614143</v>
      </c>
      <c r="B220" s="7">
        <v>0.33982720891238244</v>
      </c>
    </row>
    <row r="221" spans="1:2" x14ac:dyDescent="0.25">
      <c r="A221" s="8">
        <v>0.53802066515983205</v>
      </c>
      <c r="B221" s="9">
        <v>0.34514167164009435</v>
      </c>
    </row>
    <row r="222" spans="1:2" x14ac:dyDescent="0.25">
      <c r="A222" s="6">
        <v>0.54044236357765585</v>
      </c>
      <c r="B222" s="7">
        <v>0.33908220974467029</v>
      </c>
    </row>
    <row r="223" spans="1:2" x14ac:dyDescent="0.25">
      <c r="A223" s="8">
        <v>0.54294478527607359</v>
      </c>
      <c r="B223" s="9">
        <v>0.3379251265686597</v>
      </c>
    </row>
    <row r="224" spans="1:2" x14ac:dyDescent="0.25">
      <c r="A224" s="6">
        <v>0.54536648369389729</v>
      </c>
      <c r="B224" s="7">
        <v>0.33986374838109856</v>
      </c>
    </row>
    <row r="225" spans="1:2" x14ac:dyDescent="0.25">
      <c r="A225" s="8">
        <v>0.54786890539231514</v>
      </c>
      <c r="B225" s="9">
        <v>0.34233625243088966</v>
      </c>
    </row>
    <row r="226" spans="1:2" x14ac:dyDescent="0.25">
      <c r="A226" s="6">
        <v>0.550371327090733</v>
      </c>
      <c r="B226" s="7">
        <v>0.34847488317519865</v>
      </c>
    </row>
    <row r="227" spans="1:2" x14ac:dyDescent="0.25">
      <c r="A227" s="8">
        <v>0.55279302550855669</v>
      </c>
      <c r="B227" s="9">
        <v>0.35642018765047156</v>
      </c>
    </row>
    <row r="228" spans="1:2" x14ac:dyDescent="0.25">
      <c r="A228" s="6">
        <v>0.55529544720697455</v>
      </c>
      <c r="B228" s="7">
        <v>0.36250197922122213</v>
      </c>
    </row>
    <row r="229" spans="1:2" x14ac:dyDescent="0.25">
      <c r="A229" s="8">
        <v>0.55771714562479824</v>
      </c>
      <c r="B229" s="9">
        <v>0.36803567876123083</v>
      </c>
    </row>
    <row r="230" spans="1:2" x14ac:dyDescent="0.25">
      <c r="A230" s="6">
        <v>0.56021956732321598</v>
      </c>
      <c r="B230" s="7">
        <v>0.37260920226219912</v>
      </c>
    </row>
    <row r="231" spans="1:2" x14ac:dyDescent="0.25">
      <c r="A231" s="8">
        <v>0.56272198902163384</v>
      </c>
      <c r="B231" s="9">
        <v>0.37743038216224334</v>
      </c>
    </row>
    <row r="232" spans="1:2" x14ac:dyDescent="0.25">
      <c r="A232" s="6">
        <v>0.56498224087826932</v>
      </c>
      <c r="B232" s="7">
        <v>0.38374765030916452</v>
      </c>
    </row>
    <row r="233" spans="1:2" x14ac:dyDescent="0.25">
      <c r="A233" s="8">
        <v>0.56748466257668717</v>
      </c>
      <c r="B233" s="9">
        <v>0.38786443045118124</v>
      </c>
    </row>
    <row r="234" spans="1:2" x14ac:dyDescent="0.25">
      <c r="A234" s="6">
        <v>0.56990636099451086</v>
      </c>
      <c r="B234" s="7">
        <v>0.38628105347348252</v>
      </c>
    </row>
    <row r="235" spans="1:2" x14ac:dyDescent="0.25">
      <c r="A235" s="8">
        <v>0.57240878269292861</v>
      </c>
      <c r="B235" s="9">
        <v>0.39175994381041701</v>
      </c>
    </row>
    <row r="236" spans="1:2" x14ac:dyDescent="0.25">
      <c r="A236" s="6">
        <v>0.5748304811107523</v>
      </c>
      <c r="B236" s="7">
        <v>0.39138236930035036</v>
      </c>
    </row>
    <row r="237" spans="1:2" x14ac:dyDescent="0.25">
      <c r="A237" s="8">
        <v>0.57733290280917016</v>
      </c>
      <c r="B237" s="9">
        <v>0.39187159218704959</v>
      </c>
    </row>
    <row r="238" spans="1:2" x14ac:dyDescent="0.25">
      <c r="A238" s="6">
        <v>0.57983532450758801</v>
      </c>
      <c r="B238" s="7">
        <v>0.39968291861036342</v>
      </c>
    </row>
    <row r="239" spans="1:2" x14ac:dyDescent="0.25">
      <c r="A239" s="8">
        <v>0.5822570229254117</v>
      </c>
      <c r="B239" s="9">
        <v>0.40383826819158047</v>
      </c>
    </row>
    <row r="240" spans="1:2" x14ac:dyDescent="0.25">
      <c r="A240" s="6">
        <v>0.58475944462382956</v>
      </c>
      <c r="B240" s="7">
        <v>0.40618491407134938</v>
      </c>
    </row>
    <row r="241" spans="1:2" x14ac:dyDescent="0.25">
      <c r="A241" s="8">
        <v>0.58718114304165325</v>
      </c>
      <c r="B241" s="9">
        <v>0.40796925812698681</v>
      </c>
    </row>
    <row r="242" spans="1:2" x14ac:dyDescent="0.25">
      <c r="A242" s="6">
        <v>0.589683564740071</v>
      </c>
      <c r="B242" s="7">
        <v>0.41317207247806614</v>
      </c>
    </row>
    <row r="243" spans="1:2" x14ac:dyDescent="0.25">
      <c r="A243" s="8">
        <v>0.59218598643848885</v>
      </c>
      <c r="B243" s="9">
        <v>0.42269060407861669</v>
      </c>
    </row>
    <row r="244" spans="1:2" x14ac:dyDescent="0.25">
      <c r="A244" s="6">
        <v>0.59452696157571838</v>
      </c>
      <c r="B244" s="7">
        <v>0.42553865266799018</v>
      </c>
    </row>
    <row r="245" spans="1:2" x14ac:dyDescent="0.25">
      <c r="A245" s="8">
        <v>0.59702938327413624</v>
      </c>
      <c r="B245" s="9">
        <v>0.42142593246694193</v>
      </c>
    </row>
    <row r="246" spans="1:2" x14ac:dyDescent="0.25">
      <c r="A246" s="6">
        <v>0.59945108169195993</v>
      </c>
      <c r="B246" s="7">
        <v>0.42009021188831913</v>
      </c>
    </row>
    <row r="247" spans="1:2" x14ac:dyDescent="0.25">
      <c r="A247" s="8">
        <v>0.60195350339037779</v>
      </c>
      <c r="B247" s="9">
        <v>0.41252857183456554</v>
      </c>
    </row>
    <row r="248" spans="1:2" x14ac:dyDescent="0.25">
      <c r="A248" s="6">
        <v>0.60437520180820148</v>
      </c>
      <c r="B248" s="7">
        <v>0.4157704346978795</v>
      </c>
    </row>
    <row r="249" spans="1:2" x14ac:dyDescent="0.25">
      <c r="A249" s="8">
        <v>0.60687762350661933</v>
      </c>
      <c r="B249" s="9">
        <v>0.42560767166445401</v>
      </c>
    </row>
    <row r="250" spans="1:2" x14ac:dyDescent="0.25">
      <c r="A250" s="6">
        <v>0.60938004520503708</v>
      </c>
      <c r="B250" s="7">
        <v>0.43127737922690607</v>
      </c>
    </row>
    <row r="251" spans="1:2" x14ac:dyDescent="0.25">
      <c r="A251" s="8">
        <v>0.61180174362286088</v>
      </c>
      <c r="B251" s="9">
        <v>0.43162653415019347</v>
      </c>
    </row>
    <row r="252" spans="1:2" x14ac:dyDescent="0.25">
      <c r="A252" s="6">
        <v>0.61430416532127863</v>
      </c>
      <c r="B252" s="7">
        <v>0.43449082250344079</v>
      </c>
    </row>
    <row r="253" spans="1:2" x14ac:dyDescent="0.25">
      <c r="A253" s="8">
        <v>0.61672586373910232</v>
      </c>
      <c r="B253" s="9">
        <v>0.43725361233247667</v>
      </c>
    </row>
    <row r="254" spans="1:2" x14ac:dyDescent="0.25">
      <c r="A254" s="6">
        <v>0.61922828543752018</v>
      </c>
      <c r="B254" s="7">
        <v>0.44281167151829615</v>
      </c>
    </row>
    <row r="255" spans="1:2" x14ac:dyDescent="0.25">
      <c r="A255" s="8">
        <v>0.62173070713593803</v>
      </c>
      <c r="B255" s="9">
        <v>0.45290062482491505</v>
      </c>
    </row>
    <row r="256" spans="1:2" x14ac:dyDescent="0.25">
      <c r="A256" s="6">
        <v>0.62399095899257351</v>
      </c>
      <c r="B256" s="7">
        <v>0.44665034570397344</v>
      </c>
    </row>
    <row r="257" spans="1:2" x14ac:dyDescent="0.25">
      <c r="A257" s="8">
        <v>0.62649338069099125</v>
      </c>
      <c r="B257" s="9">
        <v>0.44330292437547958</v>
      </c>
    </row>
    <row r="258" spans="1:2" x14ac:dyDescent="0.25">
      <c r="A258" s="6">
        <v>0.62891507910881495</v>
      </c>
      <c r="B258" s="7">
        <v>0.44805914522002849</v>
      </c>
    </row>
    <row r="259" spans="1:2" x14ac:dyDescent="0.25">
      <c r="A259" s="8">
        <v>0.6314175008072328</v>
      </c>
      <c r="B259" s="9">
        <v>0.45077727569841136</v>
      </c>
    </row>
    <row r="260" spans="1:2" x14ac:dyDescent="0.25">
      <c r="A260" s="6">
        <v>0.63383919922505649</v>
      </c>
      <c r="B260" s="7">
        <v>0.45496307483689186</v>
      </c>
    </row>
    <row r="261" spans="1:2" x14ac:dyDescent="0.25">
      <c r="A261" s="8">
        <v>0.63634162092347435</v>
      </c>
      <c r="B261" s="9">
        <v>0.45354209549793145</v>
      </c>
    </row>
    <row r="262" spans="1:2" x14ac:dyDescent="0.25">
      <c r="A262" s="6">
        <v>0.63884404262189221</v>
      </c>
      <c r="B262" s="7">
        <v>0.45379584180846011</v>
      </c>
    </row>
    <row r="263" spans="1:2" x14ac:dyDescent="0.25">
      <c r="A263" s="8">
        <v>0.6412657410397159</v>
      </c>
      <c r="B263" s="9">
        <v>0.45537109890422195</v>
      </c>
    </row>
    <row r="264" spans="1:2" x14ac:dyDescent="0.25">
      <c r="A264" s="6">
        <v>0.64376816273813364</v>
      </c>
      <c r="B264" s="7">
        <v>0.45623180638953509</v>
      </c>
    </row>
    <row r="265" spans="1:2" x14ac:dyDescent="0.25">
      <c r="A265" s="8">
        <v>0.64618986115595733</v>
      </c>
      <c r="B265" s="9">
        <v>0.46157265873354203</v>
      </c>
    </row>
    <row r="266" spans="1:2" x14ac:dyDescent="0.25">
      <c r="A266" s="6">
        <v>0.64869228285437519</v>
      </c>
      <c r="B266" s="7">
        <v>0.45585829182043691</v>
      </c>
    </row>
    <row r="267" spans="1:2" x14ac:dyDescent="0.25">
      <c r="A267" s="8">
        <v>0.65119470455279305</v>
      </c>
      <c r="B267" s="9">
        <v>0.46529968454258674</v>
      </c>
    </row>
    <row r="268" spans="1:2" x14ac:dyDescent="0.25">
      <c r="A268" s="6">
        <v>0.65345495640942852</v>
      </c>
      <c r="B268" s="7">
        <v>0.47331806795529191</v>
      </c>
    </row>
    <row r="269" spans="1:2" x14ac:dyDescent="0.25">
      <c r="A269" s="8">
        <v>0.65595737810784627</v>
      </c>
      <c r="B269" s="9">
        <v>0.48173635555339023</v>
      </c>
    </row>
    <row r="270" spans="1:2" x14ac:dyDescent="0.25">
      <c r="A270" s="6">
        <v>0.65837907652566996</v>
      </c>
      <c r="B270" s="7">
        <v>0.48245699507529161</v>
      </c>
    </row>
    <row r="271" spans="1:2" x14ac:dyDescent="0.25">
      <c r="A271" s="8">
        <v>0.66088149822408782</v>
      </c>
      <c r="B271" s="9">
        <v>0.48414390054768602</v>
      </c>
    </row>
    <row r="272" spans="1:2" x14ac:dyDescent="0.25">
      <c r="A272" s="6">
        <v>0.66330319664191151</v>
      </c>
      <c r="B272" s="7">
        <v>0.4850106979444519</v>
      </c>
    </row>
    <row r="273" spans="1:2" x14ac:dyDescent="0.25">
      <c r="A273" s="8">
        <v>0.66580561834032936</v>
      </c>
      <c r="B273" s="9">
        <v>0.49104377022358092</v>
      </c>
    </row>
    <row r="274" spans="1:2" x14ac:dyDescent="0.25">
      <c r="A274" s="6">
        <v>0.66830804003874722</v>
      </c>
      <c r="B274" s="7">
        <v>0.48751162158102224</v>
      </c>
    </row>
    <row r="275" spans="1:2" x14ac:dyDescent="0.25">
      <c r="A275" s="8">
        <v>0.67072973845657091</v>
      </c>
      <c r="B275" s="9">
        <v>0.48963497070752593</v>
      </c>
    </row>
    <row r="276" spans="1:2" x14ac:dyDescent="0.25">
      <c r="A276" s="6">
        <v>0.67323216015498866</v>
      </c>
      <c r="B276" s="7">
        <v>0.49194101717761024</v>
      </c>
    </row>
    <row r="277" spans="1:2" x14ac:dyDescent="0.25">
      <c r="A277" s="8">
        <v>0.67565385857281235</v>
      </c>
      <c r="B277" s="9">
        <v>0.48427381865867669</v>
      </c>
    </row>
    <row r="278" spans="1:2" x14ac:dyDescent="0.25">
      <c r="A278" s="6">
        <v>0.67815628027123021</v>
      </c>
      <c r="B278" s="7">
        <v>0.47988096253080481</v>
      </c>
    </row>
    <row r="279" spans="1:2" x14ac:dyDescent="0.25">
      <c r="A279" s="8">
        <v>0.68065870196964806</v>
      </c>
      <c r="B279" s="9">
        <v>0.47800526980337704</v>
      </c>
    </row>
    <row r="280" spans="1:2" x14ac:dyDescent="0.25">
      <c r="A280" s="6">
        <v>0.68291895382628354</v>
      </c>
      <c r="B280" s="7">
        <v>0.49036170014087993</v>
      </c>
    </row>
    <row r="281" spans="1:2" x14ac:dyDescent="0.25">
      <c r="A281" s="8">
        <v>0.68542137552470128</v>
      </c>
      <c r="B281" s="9">
        <v>0.49079205388353653</v>
      </c>
    </row>
    <row r="282" spans="1:2" x14ac:dyDescent="0.25">
      <c r="A282" s="6">
        <v>0.68784307394252497</v>
      </c>
      <c r="B282" s="7">
        <v>0.49741381760309206</v>
      </c>
    </row>
    <row r="283" spans="1:2" x14ac:dyDescent="0.25">
      <c r="A283" s="8">
        <v>0.69034549564094283</v>
      </c>
      <c r="B283" s="9">
        <v>0.49750313630439813</v>
      </c>
    </row>
    <row r="284" spans="1:2" x14ac:dyDescent="0.25">
      <c r="A284" s="6">
        <v>0.69276719405876652</v>
      </c>
      <c r="B284" s="7">
        <v>0.50512364550219435</v>
      </c>
    </row>
    <row r="285" spans="1:2" x14ac:dyDescent="0.25">
      <c r="A285" s="8">
        <v>0.69526961575718438</v>
      </c>
      <c r="B285" s="9">
        <v>0.50434616680673461</v>
      </c>
    </row>
    <row r="286" spans="1:2" x14ac:dyDescent="0.25">
      <c r="A286" s="6">
        <v>0.69777203745560223</v>
      </c>
      <c r="B286" s="7">
        <v>0.50024765639907598</v>
      </c>
    </row>
    <row r="287" spans="1:2" x14ac:dyDescent="0.25">
      <c r="A287" s="8">
        <v>0.70019373587342593</v>
      </c>
      <c r="B287" s="9">
        <v>0.49723315022999565</v>
      </c>
    </row>
    <row r="288" spans="1:2" x14ac:dyDescent="0.25">
      <c r="A288" s="6">
        <v>0.70269615757184367</v>
      </c>
      <c r="B288" s="7">
        <v>0.50020502701890712</v>
      </c>
    </row>
    <row r="289" spans="1:2" x14ac:dyDescent="0.25">
      <c r="A289" s="8">
        <v>0.70511785598966747</v>
      </c>
      <c r="B289" s="9">
        <v>0.50227762688330513</v>
      </c>
    </row>
    <row r="290" spans="1:2" x14ac:dyDescent="0.25">
      <c r="A290" s="6">
        <v>0.70762027768808522</v>
      </c>
      <c r="B290" s="7">
        <v>0.49807964792191922</v>
      </c>
    </row>
    <row r="291" spans="1:2" x14ac:dyDescent="0.25">
      <c r="A291" s="8">
        <v>0.71012269938650308</v>
      </c>
      <c r="B291" s="9">
        <v>0.50324795277476664</v>
      </c>
    </row>
    <row r="292" spans="1:2" x14ac:dyDescent="0.25">
      <c r="A292" s="6">
        <v>0.7124636745237326</v>
      </c>
      <c r="B292" s="7">
        <v>0.50115505320552645</v>
      </c>
    </row>
    <row r="293" spans="1:2" x14ac:dyDescent="0.25">
      <c r="A293" s="8">
        <v>0.71496609622215046</v>
      </c>
      <c r="B293" s="9">
        <v>0.50544641080918684</v>
      </c>
    </row>
    <row r="294" spans="1:2" x14ac:dyDescent="0.25">
      <c r="A294" s="6">
        <v>0.71738779463997415</v>
      </c>
      <c r="B294" s="7">
        <v>0.50785598577396684</v>
      </c>
    </row>
    <row r="295" spans="1:2" x14ac:dyDescent="0.25">
      <c r="A295" s="8">
        <v>0.71989021633839201</v>
      </c>
      <c r="B295" s="9">
        <v>0.517628263685046</v>
      </c>
    </row>
    <row r="296" spans="1:2" x14ac:dyDescent="0.25">
      <c r="A296" s="6">
        <v>0.7223119147562157</v>
      </c>
      <c r="B296" s="7">
        <v>0.51647524045000381</v>
      </c>
    </row>
    <row r="297" spans="1:2" x14ac:dyDescent="0.25">
      <c r="A297" s="8">
        <v>0.72481433645463356</v>
      </c>
      <c r="B297" s="9">
        <v>0.51596368788797808</v>
      </c>
    </row>
    <row r="298" spans="1:2" x14ac:dyDescent="0.25">
      <c r="A298" s="6">
        <v>0.7273167581530513</v>
      </c>
      <c r="B298" s="7">
        <v>0.52104673398048795</v>
      </c>
    </row>
    <row r="299" spans="1:2" x14ac:dyDescent="0.25">
      <c r="A299" s="8">
        <v>0.72973845657087499</v>
      </c>
      <c r="B299" s="9">
        <v>0.52275190918724046</v>
      </c>
    </row>
    <row r="300" spans="1:2" x14ac:dyDescent="0.25">
      <c r="A300" s="6">
        <v>0.73224087826929285</v>
      </c>
      <c r="B300" s="7">
        <v>0.52080922743383307</v>
      </c>
    </row>
    <row r="301" spans="1:2" x14ac:dyDescent="0.25">
      <c r="A301" s="8">
        <v>0.73466257668711654</v>
      </c>
      <c r="B301" s="9">
        <v>0.53387005752936356</v>
      </c>
    </row>
    <row r="302" spans="1:2" x14ac:dyDescent="0.25">
      <c r="A302" s="6">
        <v>0.7371649983855344</v>
      </c>
      <c r="B302" s="7">
        <v>0.54027461440710656</v>
      </c>
    </row>
    <row r="303" spans="1:2" x14ac:dyDescent="0.25">
      <c r="A303" s="8">
        <v>0.73966742008395225</v>
      </c>
      <c r="B303" s="9">
        <v>0.54004319777190435</v>
      </c>
    </row>
    <row r="304" spans="1:2" x14ac:dyDescent="0.25">
      <c r="A304" s="6">
        <v>0.74192767194058762</v>
      </c>
      <c r="B304" s="7">
        <v>0.53897746326768414</v>
      </c>
    </row>
    <row r="305" spans="1:2" x14ac:dyDescent="0.25">
      <c r="A305" s="8">
        <v>0.74443009363900547</v>
      </c>
      <c r="B305" s="9">
        <v>0.54203053887596475</v>
      </c>
    </row>
    <row r="306" spans="1:2" x14ac:dyDescent="0.25">
      <c r="A306" s="6">
        <v>0.74685179205682917</v>
      </c>
      <c r="B306" s="7">
        <v>0.53690486340328614</v>
      </c>
    </row>
    <row r="307" spans="1:2" x14ac:dyDescent="0.25">
      <c r="A307" s="8">
        <v>0.74935421375524702</v>
      </c>
      <c r="B307" s="9">
        <v>0.54189453085352135</v>
      </c>
    </row>
    <row r="308" spans="1:2" x14ac:dyDescent="0.25">
      <c r="A308" s="6">
        <v>0.75177591217307072</v>
      </c>
      <c r="B308" s="7">
        <v>0.54198790949579589</v>
      </c>
    </row>
    <row r="309" spans="1:2" x14ac:dyDescent="0.25">
      <c r="A309" s="8">
        <v>0.75427833387148857</v>
      </c>
      <c r="B309" s="9">
        <v>0.54298868494452091</v>
      </c>
    </row>
    <row r="310" spans="1:2" x14ac:dyDescent="0.25">
      <c r="A310" s="6">
        <v>0.75678075556990632</v>
      </c>
      <c r="B310" s="7">
        <v>0.56210085705353841</v>
      </c>
    </row>
    <row r="311" spans="1:2" x14ac:dyDescent="0.25">
      <c r="A311" s="8">
        <v>0.75920245398773001</v>
      </c>
      <c r="B311" s="9">
        <v>0.5620561977028854</v>
      </c>
    </row>
    <row r="312" spans="1:2" x14ac:dyDescent="0.25">
      <c r="A312" s="6">
        <v>0.76170487568614786</v>
      </c>
      <c r="B312" s="7">
        <v>0.57063282299875362</v>
      </c>
    </row>
    <row r="313" spans="1:2" x14ac:dyDescent="0.25">
      <c r="A313" s="8">
        <v>0.76412657410397156</v>
      </c>
      <c r="B313" s="9">
        <v>0.57534438449264946</v>
      </c>
    </row>
    <row r="314" spans="1:2" x14ac:dyDescent="0.25">
      <c r="A314" s="6">
        <v>0.76662899580238941</v>
      </c>
      <c r="B314" s="7">
        <v>0.57058816364810061</v>
      </c>
    </row>
    <row r="315" spans="1:2" x14ac:dyDescent="0.25">
      <c r="A315" s="8">
        <v>0.76913141750080727</v>
      </c>
      <c r="B315" s="9">
        <v>0.5752672456142488</v>
      </c>
    </row>
    <row r="316" spans="1:2" x14ac:dyDescent="0.25">
      <c r="A316" s="6">
        <v>0.77139166935744263</v>
      </c>
      <c r="B316" s="7">
        <v>0.57441465801087255</v>
      </c>
    </row>
    <row r="317" spans="1:2" x14ac:dyDescent="0.25">
      <c r="A317" s="8">
        <v>0.77389409105586049</v>
      </c>
      <c r="B317" s="9">
        <v>0.57606299404406658</v>
      </c>
    </row>
    <row r="318" spans="1:2" x14ac:dyDescent="0.25">
      <c r="A318" s="6">
        <v>0.77631578947368418</v>
      </c>
      <c r="B318" s="7">
        <v>0.58913803393298658</v>
      </c>
    </row>
    <row r="319" spans="1:2" x14ac:dyDescent="0.25">
      <c r="A319" s="8">
        <v>0.77881821117210204</v>
      </c>
      <c r="B319" s="9">
        <v>0.58440414276376418</v>
      </c>
    </row>
    <row r="320" spans="1:2" x14ac:dyDescent="0.25">
      <c r="A320" s="6">
        <v>0.78123990958992573</v>
      </c>
      <c r="B320" s="7">
        <v>0.58858994190224478</v>
      </c>
    </row>
    <row r="321" spans="1:2" x14ac:dyDescent="0.25">
      <c r="A321" s="8">
        <v>0.78374233128834359</v>
      </c>
      <c r="B321" s="9">
        <v>0.58851077305335986</v>
      </c>
    </row>
    <row r="322" spans="1:2" x14ac:dyDescent="0.25">
      <c r="A322" s="6">
        <v>0.78624475298676133</v>
      </c>
      <c r="B322" s="7">
        <v>0.58730700055621188</v>
      </c>
    </row>
    <row r="323" spans="1:2" x14ac:dyDescent="0.25">
      <c r="A323" s="8">
        <v>0.78866645140458513</v>
      </c>
      <c r="B323" s="9">
        <v>0.59635254903393708</v>
      </c>
    </row>
    <row r="324" spans="1:2" x14ac:dyDescent="0.25">
      <c r="A324" s="6">
        <v>0.79116887310300288</v>
      </c>
      <c r="B324" s="7">
        <v>0.60187000881007191</v>
      </c>
    </row>
    <row r="325" spans="1:2" x14ac:dyDescent="0.25">
      <c r="A325" s="8">
        <v>0.79359057152082657</v>
      </c>
      <c r="B325" s="9">
        <v>0.58221989452273359</v>
      </c>
    </row>
    <row r="326" spans="1:2" x14ac:dyDescent="0.25">
      <c r="A326" s="6">
        <v>0.79609299321924443</v>
      </c>
      <c r="B326" s="7">
        <v>0.58488727573901078</v>
      </c>
    </row>
    <row r="327" spans="1:2" x14ac:dyDescent="0.25">
      <c r="A327" s="8">
        <v>0.79859541491766228</v>
      </c>
      <c r="B327" s="9">
        <v>0.58681168775806003</v>
      </c>
    </row>
    <row r="328" spans="1:2" x14ac:dyDescent="0.25">
      <c r="A328" s="6">
        <v>0.80085566677429776</v>
      </c>
      <c r="B328" s="7">
        <v>0.6010255410886326</v>
      </c>
    </row>
    <row r="329" spans="1:2" x14ac:dyDescent="0.25">
      <c r="A329" s="8">
        <v>0.8033580884727155</v>
      </c>
      <c r="B329" s="9">
        <v>0.60008972469540289</v>
      </c>
    </row>
    <row r="330" spans="1:2" x14ac:dyDescent="0.25">
      <c r="A330" s="6">
        <v>0.8057797868905392</v>
      </c>
      <c r="B330" s="7">
        <v>0.60979095363953406</v>
      </c>
    </row>
    <row r="331" spans="1:2" x14ac:dyDescent="0.25">
      <c r="A331" s="8">
        <v>0.80828220858895705</v>
      </c>
      <c r="B331" s="9">
        <v>0.60898302538681093</v>
      </c>
    </row>
    <row r="332" spans="1:2" x14ac:dyDescent="0.25">
      <c r="A332" s="6">
        <v>0.81070390700678074</v>
      </c>
      <c r="B332" s="7">
        <v>0.61545457129053338</v>
      </c>
    </row>
    <row r="333" spans="1:2" x14ac:dyDescent="0.25">
      <c r="A333" s="8">
        <v>0.8132063287051986</v>
      </c>
      <c r="B333" s="9">
        <v>0.62198092639733016</v>
      </c>
    </row>
    <row r="334" spans="1:2" x14ac:dyDescent="0.25">
      <c r="A334" s="6">
        <v>0.81570875040361646</v>
      </c>
      <c r="B334" s="7">
        <v>0.61393412339784581</v>
      </c>
    </row>
    <row r="335" spans="1:2" x14ac:dyDescent="0.25">
      <c r="A335" s="8">
        <v>0.81813044882144015</v>
      </c>
      <c r="B335" s="9">
        <v>0.61611025175693945</v>
      </c>
    </row>
    <row r="336" spans="1:2" x14ac:dyDescent="0.25">
      <c r="A336" s="6">
        <v>0.82063287051985789</v>
      </c>
      <c r="B336" s="7">
        <v>0.62303854101961353</v>
      </c>
    </row>
    <row r="337" spans="1:2" x14ac:dyDescent="0.25">
      <c r="A337" s="8">
        <v>0.82305456893768159</v>
      </c>
      <c r="B337" s="9">
        <v>0.62426261322160381</v>
      </c>
    </row>
    <row r="338" spans="1:2" x14ac:dyDescent="0.25">
      <c r="A338" s="6">
        <v>0.82555699063609944</v>
      </c>
      <c r="B338" s="7">
        <v>0.62046859838657942</v>
      </c>
    </row>
    <row r="339" spans="1:2" x14ac:dyDescent="0.25">
      <c r="A339" s="8">
        <v>0.8280594123345173</v>
      </c>
      <c r="B339" s="9">
        <v>0.62087053254245683</v>
      </c>
    </row>
    <row r="340" spans="1:2" x14ac:dyDescent="0.25">
      <c r="A340" s="6">
        <v>0.83040038747174683</v>
      </c>
      <c r="B340" s="7">
        <v>0.56602478999955341</v>
      </c>
    </row>
    <row r="341" spans="1:2" x14ac:dyDescent="0.25">
      <c r="A341" s="8">
        <v>0.83290280917016468</v>
      </c>
      <c r="B341" s="9">
        <v>0.46319054520947267</v>
      </c>
    </row>
    <row r="342" spans="1:2" x14ac:dyDescent="0.25">
      <c r="A342" s="6">
        <v>0.83532450758798837</v>
      </c>
      <c r="B342" s="7">
        <v>0.60054037814290184</v>
      </c>
    </row>
    <row r="343" spans="1:2" x14ac:dyDescent="0.25">
      <c r="A343" s="8">
        <v>0.83782692928640623</v>
      </c>
      <c r="B343" s="9">
        <v>0.65706084633529427</v>
      </c>
    </row>
    <row r="344" spans="1:2" x14ac:dyDescent="0.25">
      <c r="A344" s="6">
        <v>0.84024862770422992</v>
      </c>
      <c r="B344" s="7">
        <v>0.66938885708601792</v>
      </c>
    </row>
    <row r="345" spans="1:2" x14ac:dyDescent="0.25">
      <c r="A345" s="8">
        <v>0.84275104940264778</v>
      </c>
      <c r="B345" s="9">
        <v>0.67308949327876777</v>
      </c>
    </row>
    <row r="346" spans="1:2" x14ac:dyDescent="0.25">
      <c r="A346" s="6">
        <v>0.84525347110106552</v>
      </c>
      <c r="B346" s="7">
        <v>0.69137140745973558</v>
      </c>
    </row>
    <row r="347" spans="1:2" x14ac:dyDescent="0.25">
      <c r="A347" s="8">
        <v>0.84767516951888922</v>
      </c>
      <c r="B347" s="9">
        <v>0.68743529469081521</v>
      </c>
    </row>
    <row r="348" spans="1:2" x14ac:dyDescent="0.25">
      <c r="A348" s="6">
        <v>0.85017759121730707</v>
      </c>
      <c r="B348" s="7">
        <v>0.68198685391114411</v>
      </c>
    </row>
    <row r="349" spans="1:2" x14ac:dyDescent="0.25">
      <c r="A349" s="8">
        <v>0.85259928963513076</v>
      </c>
      <c r="B349" s="9">
        <v>0.69796272162202766</v>
      </c>
    </row>
    <row r="350" spans="1:2" x14ac:dyDescent="0.25">
      <c r="A350" s="6">
        <v>0.85510171133354862</v>
      </c>
      <c r="B350" s="7">
        <v>0.72974190955263507</v>
      </c>
    </row>
    <row r="351" spans="1:2" x14ac:dyDescent="0.25">
      <c r="A351" s="8">
        <v>0.85760413303196636</v>
      </c>
      <c r="B351" s="9">
        <v>0.70376031732498612</v>
      </c>
    </row>
    <row r="352" spans="1:2" x14ac:dyDescent="0.25">
      <c r="A352" s="6">
        <v>0.85986438488860184</v>
      </c>
      <c r="B352" s="7">
        <v>0.80688687786479585</v>
      </c>
    </row>
    <row r="353" spans="1:2" x14ac:dyDescent="0.25">
      <c r="A353" s="8">
        <v>0.8623668065870197</v>
      </c>
      <c r="B353" s="9">
        <v>0.81214856135991786</v>
      </c>
    </row>
    <row r="354" spans="1:2" x14ac:dyDescent="0.25">
      <c r="A354" s="6">
        <v>0.86478850500484339</v>
      </c>
      <c r="B354" s="7">
        <v>0.80076042694339222</v>
      </c>
    </row>
    <row r="355" spans="1:2" x14ac:dyDescent="0.25">
      <c r="A355" s="8">
        <v>0.86729092670326124</v>
      </c>
      <c r="B355" s="9">
        <v>0.80799321177870076</v>
      </c>
    </row>
    <row r="356" spans="1:2" x14ac:dyDescent="0.25">
      <c r="A356" s="6">
        <v>0.86971262512108494</v>
      </c>
      <c r="B356" s="7">
        <v>0.78454299274488548</v>
      </c>
    </row>
    <row r="357" spans="1:2" x14ac:dyDescent="0.25">
      <c r="A357" s="8">
        <v>0.87221504681950279</v>
      </c>
      <c r="B357" s="9">
        <v>0.79241318831224195</v>
      </c>
    </row>
    <row r="358" spans="1:2" x14ac:dyDescent="0.25">
      <c r="A358" s="6">
        <v>0.87471746851792054</v>
      </c>
      <c r="B358" s="7">
        <v>0.80088628511341442</v>
      </c>
    </row>
    <row r="359" spans="1:2" x14ac:dyDescent="0.25">
      <c r="A359" s="8">
        <v>0.87713916693574423</v>
      </c>
      <c r="B359" s="9">
        <v>0.81856732803105048</v>
      </c>
    </row>
    <row r="360" spans="1:2" x14ac:dyDescent="0.25">
      <c r="A360" s="6">
        <v>0.87964158863416209</v>
      </c>
      <c r="B360" s="7">
        <v>0.83018078917132543</v>
      </c>
    </row>
    <row r="361" spans="1:2" x14ac:dyDescent="0.25">
      <c r="A361" s="8">
        <v>0.88206328705198578</v>
      </c>
      <c r="B361" s="9">
        <v>0.82245675147883346</v>
      </c>
    </row>
    <row r="362" spans="1:2" x14ac:dyDescent="0.25">
      <c r="A362" s="6">
        <v>0.88456570875040363</v>
      </c>
      <c r="B362" s="7">
        <v>0.84880576836412802</v>
      </c>
    </row>
    <row r="363" spans="1:2" x14ac:dyDescent="0.25">
      <c r="A363" s="8">
        <v>0.88706813044882149</v>
      </c>
      <c r="B363" s="9">
        <v>0.85595126446861458</v>
      </c>
    </row>
    <row r="364" spans="1:2" x14ac:dyDescent="0.25">
      <c r="A364" s="6">
        <v>0.88932838230545685</v>
      </c>
      <c r="B364" s="7">
        <v>0.87768818841374041</v>
      </c>
    </row>
    <row r="365" spans="1:2" x14ac:dyDescent="0.25">
      <c r="A365" s="8">
        <v>0.89183080400387471</v>
      </c>
      <c r="B365" s="9">
        <v>0.89079773780089233</v>
      </c>
    </row>
    <row r="366" spans="1:2" x14ac:dyDescent="0.25">
      <c r="A366" s="6">
        <v>0.8942525024216984</v>
      </c>
      <c r="B366" s="7">
        <v>0.88856680023872447</v>
      </c>
    </row>
    <row r="367" spans="1:2" x14ac:dyDescent="0.25">
      <c r="A367" s="8">
        <v>0.89675492412011626</v>
      </c>
      <c r="B367" s="9">
        <v>0.9001619916446415</v>
      </c>
    </row>
    <row r="368" spans="1:2" x14ac:dyDescent="0.25">
      <c r="A368" s="6">
        <v>0.89917662253793995</v>
      </c>
      <c r="B368" s="7">
        <v>0.88739550726932426</v>
      </c>
    </row>
    <row r="369" spans="1:2" x14ac:dyDescent="0.25">
      <c r="A369" s="8">
        <v>0.90167904423635781</v>
      </c>
      <c r="B369" s="9">
        <v>0.89131132033340232</v>
      </c>
    </row>
    <row r="370" spans="1:2" x14ac:dyDescent="0.25">
      <c r="A370" s="6">
        <v>0.90418146593477555</v>
      </c>
      <c r="B370" s="7">
        <v>0.88775887198600134</v>
      </c>
    </row>
    <row r="371" spans="1:2" x14ac:dyDescent="0.25">
      <c r="A371" s="8">
        <v>0.90660316435259924</v>
      </c>
      <c r="B371" s="9">
        <v>0.8990455078783155</v>
      </c>
    </row>
    <row r="372" spans="1:2" x14ac:dyDescent="0.25">
      <c r="A372" s="6">
        <v>0.9091055860510171</v>
      </c>
      <c r="B372" s="7">
        <v>0.88148626318973322</v>
      </c>
    </row>
    <row r="373" spans="1:2" x14ac:dyDescent="0.25">
      <c r="A373" s="8">
        <v>0.91152728446884079</v>
      </c>
      <c r="B373" s="9">
        <v>0.86679536679536684</v>
      </c>
    </row>
    <row r="374" spans="1:2" x14ac:dyDescent="0.25">
      <c r="A374" s="6">
        <v>0.91402970616725865</v>
      </c>
      <c r="B374" s="7">
        <v>0.91317004250758194</v>
      </c>
    </row>
    <row r="375" spans="1:2" x14ac:dyDescent="0.25">
      <c r="A375" s="8">
        <v>0.9165321278656765</v>
      </c>
      <c r="B375" s="9">
        <v>0.90139824366953702</v>
      </c>
    </row>
    <row r="376" spans="1:2" x14ac:dyDescent="0.25">
      <c r="A376" s="6">
        <v>0.91879237972231187</v>
      </c>
      <c r="B376" s="7">
        <v>0.88647187069900002</v>
      </c>
    </row>
    <row r="377" spans="1:2" x14ac:dyDescent="0.25">
      <c r="A377" s="8">
        <v>0.92129480142072973</v>
      </c>
      <c r="B377" s="9">
        <v>0.89674758129016807</v>
      </c>
    </row>
    <row r="378" spans="1:2" x14ac:dyDescent="0.25">
      <c r="A378" s="6">
        <v>0.92371649983855342</v>
      </c>
      <c r="B378" s="7">
        <v>0.90164387009812874</v>
      </c>
    </row>
    <row r="379" spans="1:2" x14ac:dyDescent="0.25">
      <c r="A379" s="8">
        <v>0.92621892153697127</v>
      </c>
      <c r="B379" s="9">
        <v>0.90648331973253105</v>
      </c>
    </row>
    <row r="380" spans="1:2" x14ac:dyDescent="0.25">
      <c r="A380" s="6">
        <v>0.92864061995479497</v>
      </c>
      <c r="B380" s="7">
        <v>0.90767491240677356</v>
      </c>
    </row>
    <row r="381" spans="1:2" x14ac:dyDescent="0.25">
      <c r="A381" s="8">
        <v>0.93114304165321282</v>
      </c>
      <c r="B381" s="9">
        <v>0.91972075726018943</v>
      </c>
    </row>
    <row r="382" spans="1:2" x14ac:dyDescent="0.25">
      <c r="A382" s="6">
        <v>0.93364546335163057</v>
      </c>
      <c r="B382" s="7">
        <v>0.92736359613331221</v>
      </c>
    </row>
    <row r="383" spans="1:2" x14ac:dyDescent="0.25">
      <c r="A383" s="8">
        <v>0.93606716176945426</v>
      </c>
      <c r="B383" s="9">
        <v>0.92038252763804818</v>
      </c>
    </row>
    <row r="384" spans="1:2" x14ac:dyDescent="0.25">
      <c r="A384" s="6">
        <v>0.93856958346787212</v>
      </c>
      <c r="B384" s="7">
        <v>0.91642408519380125</v>
      </c>
    </row>
    <row r="385" spans="1:2" x14ac:dyDescent="0.25">
      <c r="A385" s="8">
        <v>0.94099128188569581</v>
      </c>
      <c r="B385" s="9">
        <v>0.91782273485743515</v>
      </c>
    </row>
    <row r="386" spans="1:2" x14ac:dyDescent="0.25">
      <c r="A386" s="6">
        <v>0.94349370358411366</v>
      </c>
      <c r="B386" s="7">
        <v>0.9070395316452099</v>
      </c>
    </row>
    <row r="387" spans="1:2" x14ac:dyDescent="0.25">
      <c r="A387" s="8">
        <v>0.94599612528253152</v>
      </c>
      <c r="B387" s="9">
        <v>0.91569126584899452</v>
      </c>
    </row>
    <row r="388" spans="1:2" x14ac:dyDescent="0.25">
      <c r="A388" s="6">
        <v>0.94833710041976105</v>
      </c>
      <c r="B388" s="7">
        <v>0.92130007429691974</v>
      </c>
    </row>
    <row r="389" spans="1:2" x14ac:dyDescent="0.25">
      <c r="A389" s="8">
        <v>0.9508395221181789</v>
      </c>
      <c r="B389" s="9">
        <v>0.92070529294504055</v>
      </c>
    </row>
    <row r="390" spans="1:2" x14ac:dyDescent="0.25">
      <c r="A390" s="6">
        <v>0.9532612205360026</v>
      </c>
      <c r="B390" s="7">
        <v>0.93023803433898067</v>
      </c>
    </row>
    <row r="391" spans="1:2" x14ac:dyDescent="0.25">
      <c r="A391" s="8">
        <v>0.95576364223442045</v>
      </c>
      <c r="B391" s="9">
        <v>0.92944025593867863</v>
      </c>
    </row>
    <row r="392" spans="1:2" x14ac:dyDescent="0.25">
      <c r="A392" s="6">
        <v>0.95818534065224414</v>
      </c>
      <c r="B392" s="7">
        <v>0.94128513371415579</v>
      </c>
    </row>
    <row r="393" spans="1:2" x14ac:dyDescent="0.25">
      <c r="A393" s="8">
        <v>0.96068776235066189</v>
      </c>
      <c r="B393" s="9">
        <v>0.93679280903255668</v>
      </c>
    </row>
    <row r="394" spans="1:2" x14ac:dyDescent="0.25">
      <c r="A394" s="6">
        <v>0.96319018404907975</v>
      </c>
      <c r="B394" s="7">
        <v>0.94729384634747416</v>
      </c>
    </row>
    <row r="395" spans="1:2" x14ac:dyDescent="0.25">
      <c r="A395" s="8">
        <v>0.96561188246690344</v>
      </c>
      <c r="B395" s="9">
        <v>0.95540966834342234</v>
      </c>
    </row>
    <row r="396" spans="1:2" x14ac:dyDescent="0.25">
      <c r="A396" s="6">
        <v>0.96811430416532129</v>
      </c>
      <c r="B396" s="7">
        <v>0.9626607229130888</v>
      </c>
    </row>
    <row r="397" spans="1:2" x14ac:dyDescent="0.25">
      <c r="A397" s="8">
        <v>0.97053600258314499</v>
      </c>
      <c r="B397" s="9">
        <v>0.97374233178649583</v>
      </c>
    </row>
    <row r="398" spans="1:2" x14ac:dyDescent="0.25">
      <c r="A398" s="6">
        <v>0.97303842428156284</v>
      </c>
      <c r="B398" s="7">
        <v>0.96190760386343988</v>
      </c>
    </row>
    <row r="399" spans="1:2" x14ac:dyDescent="0.25">
      <c r="A399" s="8">
        <v>0.97554084597998059</v>
      </c>
      <c r="B399" s="9">
        <v>0.96341181199225367</v>
      </c>
    </row>
    <row r="400" spans="1:2" x14ac:dyDescent="0.25">
      <c r="A400" s="6">
        <v>0.97780109783661606</v>
      </c>
      <c r="B400" s="7">
        <v>0.98047777385316814</v>
      </c>
    </row>
    <row r="401" spans="1:2" x14ac:dyDescent="0.25">
      <c r="A401" s="8">
        <v>0.98030351953503392</v>
      </c>
      <c r="B401" s="9">
        <v>0.97722982107840151</v>
      </c>
    </row>
    <row r="402" spans="1:2" x14ac:dyDescent="0.25">
      <c r="A402" s="6">
        <v>0.98272521795285761</v>
      </c>
      <c r="B402" s="7">
        <v>0.96609746294288878</v>
      </c>
    </row>
    <row r="403" spans="1:2" x14ac:dyDescent="0.25">
      <c r="A403" s="8">
        <v>0.98522763965127547</v>
      </c>
      <c r="B403" s="9">
        <v>0.97849855263104479</v>
      </c>
    </row>
    <row r="404" spans="1:2" x14ac:dyDescent="0.25">
      <c r="A404" s="6">
        <v>0.98764933806909916</v>
      </c>
      <c r="B404" s="7">
        <v>0.98783844682898314</v>
      </c>
    </row>
    <row r="405" spans="1:2" x14ac:dyDescent="0.25">
      <c r="A405" s="8">
        <v>0.9901517597675169</v>
      </c>
      <c r="B405" s="9">
        <v>0.99474440641633066</v>
      </c>
    </row>
    <row r="406" spans="1:2" x14ac:dyDescent="0.25">
      <c r="A406" s="6">
        <v>0.99265418146593476</v>
      </c>
      <c r="B406" s="7">
        <v>0.99524377915545104</v>
      </c>
    </row>
    <row r="407" spans="1:2" x14ac:dyDescent="0.25">
      <c r="A407" s="8">
        <v>0.99507587988375845</v>
      </c>
      <c r="B407" s="9">
        <v>0.99311434011749466</v>
      </c>
    </row>
    <row r="408" spans="1:2" x14ac:dyDescent="0.25">
      <c r="A408" s="6">
        <v>0.99757830158217631</v>
      </c>
      <c r="B408" s="7">
        <v>0.99994519079692579</v>
      </c>
    </row>
    <row r="409" spans="1:2" x14ac:dyDescent="0.25">
      <c r="A409" s="3">
        <v>1</v>
      </c>
      <c r="B409" s="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B053E-6FEC-46D9-9562-4F3C1C18BAA9}">
  <sheetPr codeName="Sheet3"/>
  <dimension ref="A1:O409"/>
  <sheetViews>
    <sheetView tabSelected="1" workbookViewId="0">
      <selection activeCell="N8" sqref="N8"/>
    </sheetView>
  </sheetViews>
  <sheetFormatPr defaultRowHeight="15" x14ac:dyDescent="0.25"/>
  <cols>
    <col min="1" max="1" width="18.7109375" customWidth="1"/>
    <col min="8" max="8" width="13" style="11" bestFit="1" customWidth="1"/>
    <col min="9" max="9" width="12.5703125" style="11" bestFit="1" customWidth="1"/>
    <col min="10" max="10" width="12.5703125" style="11" customWidth="1"/>
    <col min="11" max="11" width="18.28515625" style="11" customWidth="1"/>
    <col min="12" max="13" width="12.5703125" style="11" customWidth="1"/>
    <col min="14" max="14" width="51.5703125" bestFit="1" customWidth="1"/>
    <col min="15" max="15" width="16" customWidth="1"/>
  </cols>
  <sheetData>
    <row r="1" spans="1:15" ht="62.25" x14ac:dyDescent="0.4">
      <c r="A1" s="17" t="s">
        <v>0</v>
      </c>
      <c r="B1" s="17" t="s">
        <v>3</v>
      </c>
      <c r="C1" s="17" t="s">
        <v>4</v>
      </c>
      <c r="D1" s="17" t="s">
        <v>5</v>
      </c>
      <c r="E1" s="17" t="s">
        <v>6</v>
      </c>
      <c r="F1" s="17" t="s">
        <v>7</v>
      </c>
      <c r="G1" s="17" t="s">
        <v>8</v>
      </c>
      <c r="H1" s="18" t="s">
        <v>2</v>
      </c>
      <c r="I1" s="18" t="s">
        <v>9</v>
      </c>
      <c r="J1" s="18" t="s">
        <v>13</v>
      </c>
      <c r="K1" s="19" t="s">
        <v>11</v>
      </c>
      <c r="L1" s="19" t="s">
        <v>12</v>
      </c>
      <c r="M1" s="13"/>
      <c r="N1" s="10" t="s">
        <v>10</v>
      </c>
      <c r="O1" s="12" cm="1">
        <f t="array" ref="O1">AVERAGE(ABS((H2:H403-I2:I403)/H2:H403))</f>
        <v>3.5607123055625543E-2</v>
      </c>
    </row>
    <row r="2" spans="1:15" x14ac:dyDescent="0.25">
      <c r="A2">
        <f>NormData!A8</f>
        <v>1.469163706813045E-2</v>
      </c>
      <c r="B2">
        <f>NormData!B2</f>
        <v>6.0696117478451861E-4</v>
      </c>
      <c r="C2">
        <f>NormData!B3</f>
        <v>9.4190630468232988E-4</v>
      </c>
      <c r="D2">
        <f>NormData!B4</f>
        <v>0</v>
      </c>
      <c r="E2">
        <f>NormData!B5</f>
        <v>3.1241245752286761E-3</v>
      </c>
      <c r="F2">
        <f>NormData!B6</f>
        <v>4.3015074560815887E-3</v>
      </c>
      <c r="G2">
        <f>NormData!B7</f>
        <v>6.4004969367745393E-3</v>
      </c>
      <c r="H2" s="14">
        <f>NormData!B8</f>
        <v>9.3845535485914035E-3</v>
      </c>
      <c r="I2" s="23">
        <v>1.2069587683759035E-2</v>
      </c>
      <c r="J2" s="22">
        <v>33604</v>
      </c>
      <c r="K2" s="16">
        <f>Table3[[#This Row],[TgtAmount]] * (MAX(Table1[RSXFS]) - MIN(RawData!B:B)) +MIN(Table1[RSXFS])</f>
        <v>146743</v>
      </c>
      <c r="L2" s="15">
        <f>Table3[[#This Row],[Prediction]] * (MAX(Table1[RSXFS]) - MIN(RawData!B:B)) +MIN(Table1[RSXFS])</f>
        <v>148065.69614559802</v>
      </c>
      <c r="M2" s="14"/>
    </row>
    <row r="3" spans="1:15" x14ac:dyDescent="0.25">
      <c r="A3">
        <f>NormData!A9</f>
        <v>1.7194058766548271E-2</v>
      </c>
      <c r="B3">
        <f>NormData!B3</f>
        <v>9.4190630468232988E-4</v>
      </c>
      <c r="C3">
        <f>NormData!B4</f>
        <v>0</v>
      </c>
      <c r="D3">
        <f>NormData!B5</f>
        <v>3.1241245752286761E-3</v>
      </c>
      <c r="E3">
        <f>NormData!B6</f>
        <v>4.3015074560815887E-3</v>
      </c>
      <c r="F3">
        <f>NormData!B7</f>
        <v>6.4004969367745393E-3</v>
      </c>
      <c r="G3">
        <f>NormData!B8</f>
        <v>9.3845535485914035E-3</v>
      </c>
      <c r="H3" s="14">
        <f>NormData!B9</f>
        <v>8.0183834127051795E-3</v>
      </c>
      <c r="I3" s="24">
        <v>1.3081978896236163E-2</v>
      </c>
      <c r="J3" s="22">
        <v>33635</v>
      </c>
      <c r="K3" s="16">
        <f>Table3[[#This Row],[TgtAmount]] * (MAX(Table1[RSXFS]) - MIN(RawData!B:B)) +MIN(Table1[RSXFS])</f>
        <v>146070</v>
      </c>
      <c r="L3" s="15">
        <f>Table3[[#This Row],[Prediction]] * (MAX(Table1[RSXFS]) - MIN(RawData!B:B)) +MIN(Table1[RSXFS])</f>
        <v>148564.41827990607</v>
      </c>
      <c r="M3" s="14"/>
    </row>
    <row r="4" spans="1:15" x14ac:dyDescent="0.25">
      <c r="A4">
        <f>NormData!A10</f>
        <v>1.9696480464966096E-2</v>
      </c>
      <c r="B4">
        <f>NormData!B4</f>
        <v>0</v>
      </c>
      <c r="C4">
        <f>NormData!B5</f>
        <v>3.1241245752286761E-3</v>
      </c>
      <c r="D4">
        <f>NormData!B6</f>
        <v>4.3015074560815887E-3</v>
      </c>
      <c r="E4">
        <f>NormData!B7</f>
        <v>6.4004969367745393E-3</v>
      </c>
      <c r="F4">
        <f>NormData!B8</f>
        <v>9.3845535485914035E-3</v>
      </c>
      <c r="G4">
        <f>NormData!B9</f>
        <v>8.0183834127051795E-3</v>
      </c>
      <c r="H4" s="14">
        <f>NormData!B10</f>
        <v>1.1798188454339874E-2</v>
      </c>
      <c r="I4" s="24">
        <v>1.374838719922852E-2</v>
      </c>
      <c r="J4" s="22">
        <v>33664</v>
      </c>
      <c r="K4" s="16">
        <f>Table3[[#This Row],[TgtAmount]] * (MAX(Table1[RSXFS]) - MIN(RawData!B:B)) +MIN(Table1[RSXFS])</f>
        <v>147932</v>
      </c>
      <c r="L4" s="15">
        <f>Table3[[#This Row],[Prediction]] * (MAX(Table1[RSXFS]) - MIN(RawData!B:B)) +MIN(Table1[RSXFS])</f>
        <v>148892.70300530957</v>
      </c>
      <c r="M4" s="14"/>
    </row>
    <row r="5" spans="1:15" x14ac:dyDescent="0.25">
      <c r="A5">
        <f>NormData!A11</f>
        <v>2.2118178882789795E-2</v>
      </c>
      <c r="B5">
        <f>NormData!B5</f>
        <v>3.1241245752286761E-3</v>
      </c>
      <c r="C5">
        <f>NormData!B6</f>
        <v>4.3015074560815887E-3</v>
      </c>
      <c r="D5">
        <f>NormData!B7</f>
        <v>6.4004969367745393E-3</v>
      </c>
      <c r="E5">
        <f>NormData!B8</f>
        <v>9.3845535485914035E-3</v>
      </c>
      <c r="F5">
        <f>NormData!B9</f>
        <v>8.0183834127051795E-3</v>
      </c>
      <c r="G5">
        <f>NormData!B10</f>
        <v>1.1798188454339874E-2</v>
      </c>
      <c r="H5" s="14">
        <f>NormData!B11</f>
        <v>1.4668566719039905E-2</v>
      </c>
      <c r="I5" s="24">
        <v>1.5123086552532613E-2</v>
      </c>
      <c r="J5" s="22">
        <v>33695</v>
      </c>
      <c r="K5" s="16">
        <f>Table3[[#This Row],[TgtAmount]] * (MAX(Table1[RSXFS]) - MIN(RawData!B:B)) +MIN(Table1[RSXFS])</f>
        <v>149346</v>
      </c>
      <c r="L5" s="15">
        <f>Table3[[#This Row],[Prediction]] * (MAX(Table1[RSXFS]) - MIN(RawData!B:B)) +MIN(Table1[RSXFS])</f>
        <v>149569.9046513355</v>
      </c>
      <c r="M5" s="14"/>
    </row>
    <row r="6" spans="1:15" x14ac:dyDescent="0.25">
      <c r="A6">
        <f>NormData!A12</f>
        <v>2.462060058120762E-2</v>
      </c>
      <c r="B6">
        <f>NormData!B6</f>
        <v>4.3015074560815887E-3</v>
      </c>
      <c r="C6">
        <f>NormData!B7</f>
        <v>6.4004969367745393E-3</v>
      </c>
      <c r="D6">
        <f>NormData!B8</f>
        <v>9.3845535485914035E-3</v>
      </c>
      <c r="E6">
        <f>NormData!B9</f>
        <v>8.0183834127051795E-3</v>
      </c>
      <c r="F6">
        <f>NormData!B10</f>
        <v>1.1798188454339874E-2</v>
      </c>
      <c r="G6">
        <f>NormData!B11</f>
        <v>1.4668566719039905E-2</v>
      </c>
      <c r="H6" s="14">
        <f>NormData!B12</f>
        <v>1.4232123064930637E-2</v>
      </c>
      <c r="I6" s="24">
        <v>1.6463149429661816E-2</v>
      </c>
      <c r="J6" s="22">
        <v>33725</v>
      </c>
      <c r="K6" s="16">
        <f>Table3[[#This Row],[TgtAmount]] * (MAX(Table1[RSXFS]) - MIN(RawData!B:B)) +MIN(Table1[RSXFS])</f>
        <v>149131</v>
      </c>
      <c r="L6" s="15">
        <f>Table3[[#This Row],[Prediction]] * (MAX(Table1[RSXFS]) - MIN(RawData!B:B)) +MIN(Table1[RSXFS])</f>
        <v>150230.04374574113</v>
      </c>
      <c r="M6" s="14"/>
    </row>
    <row r="7" spans="1:15" x14ac:dyDescent="0.25">
      <c r="A7">
        <f>NormData!A13</f>
        <v>2.7042298999031322E-2</v>
      </c>
      <c r="B7">
        <f>NormData!B7</f>
        <v>6.4004969367745393E-3</v>
      </c>
      <c r="C7">
        <f>NormData!B8</f>
        <v>9.3845535485914035E-3</v>
      </c>
      <c r="D7">
        <f>NormData!B9</f>
        <v>8.0183834127051795E-3</v>
      </c>
      <c r="E7">
        <f>NormData!B10</f>
        <v>1.1798188454339874E-2</v>
      </c>
      <c r="F7">
        <f>NormData!B11</f>
        <v>1.4668566719039905E-2</v>
      </c>
      <c r="G7">
        <f>NormData!B12</f>
        <v>1.4232123064930637E-2</v>
      </c>
      <c r="H7" s="14">
        <f>NormData!B13</f>
        <v>1.7169490355610228E-2</v>
      </c>
      <c r="I7" s="24">
        <v>1.7523733499502463E-2</v>
      </c>
      <c r="J7" s="22">
        <v>33756</v>
      </c>
      <c r="K7" s="16">
        <f>Table3[[#This Row],[TgtAmount]] * (MAX(Table1[RSXFS]) - MIN(RawData!B:B)) +MIN(Table1[RSXFS])</f>
        <v>150578</v>
      </c>
      <c r="L7" s="15">
        <f>Table3[[#This Row],[Prediction]] * (MAX(Table1[RSXFS]) - MIN(RawData!B:B)) +MIN(Table1[RSXFS])</f>
        <v>150752.5065490579</v>
      </c>
      <c r="M7" s="14"/>
    </row>
    <row r="8" spans="1:15" x14ac:dyDescent="0.25">
      <c r="A8">
        <f>NormData!A14</f>
        <v>2.9544720697449144E-2</v>
      </c>
      <c r="B8">
        <f>NormData!B8</f>
        <v>9.3845535485914035E-3</v>
      </c>
      <c r="C8">
        <f>NormData!B9</f>
        <v>8.0183834127051795E-3</v>
      </c>
      <c r="D8">
        <f>NormData!B10</f>
        <v>1.1798188454339874E-2</v>
      </c>
      <c r="E8">
        <f>NormData!B11</f>
        <v>1.4668566719039905E-2</v>
      </c>
      <c r="F8">
        <f>NormData!B12</f>
        <v>1.4232123064930637E-2</v>
      </c>
      <c r="G8">
        <f>NormData!B13</f>
        <v>1.7169490355610228E-2</v>
      </c>
      <c r="H8" s="14">
        <f>NormData!B14</f>
        <v>2.0723968673495487E-2</v>
      </c>
      <c r="I8" s="24">
        <v>1.8974675349011823E-2</v>
      </c>
      <c r="J8" s="22">
        <v>33786</v>
      </c>
      <c r="K8" s="16">
        <f>Table3[[#This Row],[TgtAmount]] * (MAX(Table1[RSXFS]) - MIN(RawData!B:B)) +MIN(Table1[RSXFS])</f>
        <v>152329</v>
      </c>
      <c r="L8" s="15">
        <f>Table3[[#This Row],[Prediction]] * (MAX(Table1[RSXFS]) - MIN(RawData!B:B)) +MIN(Table1[RSXFS])</f>
        <v>151467.2666210795</v>
      </c>
      <c r="M8" s="14"/>
    </row>
    <row r="9" spans="1:15" x14ac:dyDescent="0.25">
      <c r="A9">
        <f>NormData!A15</f>
        <v>3.2047142395866965E-2</v>
      </c>
      <c r="B9">
        <f>NormData!B9</f>
        <v>8.0183834127051795E-3</v>
      </c>
      <c r="C9">
        <f>NormData!B10</f>
        <v>1.1798188454339874E-2</v>
      </c>
      <c r="D9">
        <f>NormData!B11</f>
        <v>1.4668566719039905E-2</v>
      </c>
      <c r="E9">
        <f>NormData!B12</f>
        <v>1.4232123064930637E-2</v>
      </c>
      <c r="F9">
        <f>NormData!B13</f>
        <v>1.7169490355610228E-2</v>
      </c>
      <c r="G9">
        <f>NormData!B14</f>
        <v>2.0723968673495487E-2</v>
      </c>
      <c r="H9" s="14">
        <f>NormData!B15</f>
        <v>1.953237599925297E-2</v>
      </c>
      <c r="I9" s="24">
        <v>2.0659848316498055E-2</v>
      </c>
      <c r="J9" s="22">
        <v>33817</v>
      </c>
      <c r="K9" s="16">
        <f>Table3[[#This Row],[TgtAmount]] * (MAX(Table1[RSXFS]) - MIN(RawData!B:B)) +MIN(Table1[RSXFS])</f>
        <v>151742</v>
      </c>
      <c r="L9" s="15">
        <f>Table3[[#This Row],[Prediction]] * (MAX(Table1[RSXFS]) - MIN(RawData!B:B)) +MIN(Table1[RSXFS])</f>
        <v>152297.41315797664</v>
      </c>
      <c r="M9" s="14"/>
    </row>
    <row r="10" spans="1:15" x14ac:dyDescent="0.25">
      <c r="A10">
        <f>NormData!A16</f>
        <v>3.430739425250242E-2</v>
      </c>
      <c r="B10">
        <f>NormData!B10</f>
        <v>1.1798188454339874E-2</v>
      </c>
      <c r="C10">
        <f>NormData!B11</f>
        <v>1.4668566719039905E-2</v>
      </c>
      <c r="D10">
        <f>NormData!B12</f>
        <v>1.4232123064930637E-2</v>
      </c>
      <c r="E10">
        <f>NormData!B13</f>
        <v>1.7169490355610228E-2</v>
      </c>
      <c r="F10">
        <f>NormData!B14</f>
        <v>2.0723968673495487E-2</v>
      </c>
      <c r="G10">
        <f>NormData!B15</f>
        <v>1.953237599925297E-2</v>
      </c>
      <c r="H10" s="14">
        <f>NormData!B16</f>
        <v>1.7061901919946085E-2</v>
      </c>
      <c r="I10" s="24">
        <v>2.1866266521645184E-2</v>
      </c>
      <c r="J10" s="22">
        <v>33848</v>
      </c>
      <c r="K10" s="16">
        <f>Table3[[#This Row],[TgtAmount]] * (MAX(Table1[RSXFS]) - MIN(RawData!B:B)) +MIN(Table1[RSXFS])</f>
        <v>150525</v>
      </c>
      <c r="L10" s="15">
        <f>Table3[[#This Row],[Prediction]] * (MAX(Table1[RSXFS]) - MIN(RawData!B:B)) +MIN(Table1[RSXFS])</f>
        <v>152891.71648135979</v>
      </c>
      <c r="M10" s="14"/>
    </row>
    <row r="11" spans="1:15" x14ac:dyDescent="0.25">
      <c r="A11">
        <f>NormData!A17</f>
        <v>3.6809815950920248E-2</v>
      </c>
      <c r="B11">
        <f>NormData!B11</f>
        <v>1.4668566719039905E-2</v>
      </c>
      <c r="C11">
        <f>NormData!B12</f>
        <v>1.4232123064930637E-2</v>
      </c>
      <c r="D11">
        <f>NormData!B13</f>
        <v>1.7169490355610228E-2</v>
      </c>
      <c r="E11">
        <f>NormData!B14</f>
        <v>2.0723968673495487E-2</v>
      </c>
      <c r="F11">
        <f>NormData!B15</f>
        <v>1.953237599925297E-2</v>
      </c>
      <c r="G11">
        <f>NormData!B16</f>
        <v>1.7061901919946085E-2</v>
      </c>
      <c r="H11" s="14">
        <f>NormData!B17</f>
        <v>2.5577628101287407E-2</v>
      </c>
      <c r="I11" s="24">
        <v>2.2307961486312648E-2</v>
      </c>
      <c r="J11" s="22">
        <v>33878</v>
      </c>
      <c r="K11" s="16">
        <f>Table3[[#This Row],[TgtAmount]] * (MAX(Table1[RSXFS]) - MIN(RawData!B:B)) +MIN(Table1[RSXFS])</f>
        <v>154720</v>
      </c>
      <c r="L11" s="15">
        <f>Table3[[#This Row],[Prediction]] * (MAX(Table1[RSXFS]) - MIN(RawData!B:B)) +MIN(Table1[RSXFS])</f>
        <v>153109.30337146437</v>
      </c>
      <c r="M11" s="14"/>
    </row>
    <row r="12" spans="1:15" x14ac:dyDescent="0.25">
      <c r="A12">
        <f>NormData!A18</f>
        <v>3.9231514368743947E-2</v>
      </c>
      <c r="B12">
        <f>NormData!B12</f>
        <v>1.4232123064930637E-2</v>
      </c>
      <c r="C12">
        <f>NormData!B13</f>
        <v>1.7169490355610228E-2</v>
      </c>
      <c r="D12">
        <f>NormData!B14</f>
        <v>2.0723968673495487E-2</v>
      </c>
      <c r="E12">
        <f>NormData!B15</f>
        <v>1.953237599925297E-2</v>
      </c>
      <c r="F12">
        <f>NormData!B16</f>
        <v>1.7061901919946085E-2</v>
      </c>
      <c r="G12">
        <f>NormData!B17</f>
        <v>2.5577628101287407E-2</v>
      </c>
      <c r="H12" s="14">
        <f>NormData!B18</f>
        <v>2.7236113986902632E-2</v>
      </c>
      <c r="I12" s="24">
        <v>2.4536076458960734E-2</v>
      </c>
      <c r="J12" s="22">
        <v>33909</v>
      </c>
      <c r="K12" s="16">
        <f>Table3[[#This Row],[TgtAmount]] * (MAX(Table1[RSXFS]) - MIN(RawData!B:B)) +MIN(Table1[RSXFS])</f>
        <v>155537</v>
      </c>
      <c r="L12" s="15">
        <f>Table3[[#This Row],[Prediction]] * (MAX(Table1[RSXFS]) - MIN(RawData!B:B)) +MIN(Table1[RSXFS])</f>
        <v>154206.91291306031</v>
      </c>
      <c r="M12" s="14"/>
    </row>
    <row r="13" spans="1:15" x14ac:dyDescent="0.25">
      <c r="A13">
        <f>NormData!A19</f>
        <v>4.1733936067161768E-2</v>
      </c>
      <c r="B13">
        <f>NormData!B13</f>
        <v>1.7169490355610228E-2</v>
      </c>
      <c r="C13">
        <f>NormData!B14</f>
        <v>2.0723968673495487E-2</v>
      </c>
      <c r="D13">
        <f>NormData!B15</f>
        <v>1.953237599925297E-2</v>
      </c>
      <c r="E13">
        <f>NormData!B16</f>
        <v>1.7061901919946085E-2</v>
      </c>
      <c r="F13">
        <f>NormData!B17</f>
        <v>2.5577628101287407E-2</v>
      </c>
      <c r="G13">
        <f>NormData!B18</f>
        <v>2.7236113986902632E-2</v>
      </c>
      <c r="H13" s="14">
        <f>NormData!B19</f>
        <v>2.6862599417804466E-2</v>
      </c>
      <c r="I13" s="24">
        <v>2.6247742401764546E-2</v>
      </c>
      <c r="J13" s="22">
        <v>33939</v>
      </c>
      <c r="K13" s="16">
        <f>Table3[[#This Row],[TgtAmount]] * (MAX(Table1[RSXFS]) - MIN(RawData!B:B)) +MIN(Table1[RSXFS])</f>
        <v>155353</v>
      </c>
      <c r="L13" s="15">
        <f>Table3[[#This Row],[Prediction]] * (MAX(Table1[RSXFS]) - MIN(RawData!B:B)) +MIN(Table1[RSXFS])</f>
        <v>155050.11036647245</v>
      </c>
      <c r="M13" s="14"/>
    </row>
    <row r="14" spans="1:15" x14ac:dyDescent="0.25">
      <c r="A14">
        <f>NormData!A20</f>
        <v>4.4155634484985468E-2</v>
      </c>
      <c r="B14">
        <f>NormData!B14</f>
        <v>2.0723968673495487E-2</v>
      </c>
      <c r="C14">
        <f>NormData!B15</f>
        <v>1.953237599925297E-2</v>
      </c>
      <c r="D14">
        <f>NormData!B16</f>
        <v>1.7061901919946085E-2</v>
      </c>
      <c r="E14">
        <f>NormData!B17</f>
        <v>2.5577628101287407E-2</v>
      </c>
      <c r="F14">
        <f>NormData!B18</f>
        <v>2.7236113986902632E-2</v>
      </c>
      <c r="G14">
        <f>NormData!B19</f>
        <v>2.6862599417804466E-2</v>
      </c>
      <c r="H14" s="14">
        <f>NormData!B20</f>
        <v>3.2777933408848235E-2</v>
      </c>
      <c r="I14" s="24">
        <v>2.7668399478451802E-2</v>
      </c>
      <c r="J14" s="22">
        <v>33970</v>
      </c>
      <c r="K14" s="16">
        <f>Table3[[#This Row],[TgtAmount]] * (MAX(Table1[RSXFS]) - MIN(RawData!B:B)) +MIN(Table1[RSXFS])</f>
        <v>158267</v>
      </c>
      <c r="L14" s="15">
        <f>Table3[[#This Row],[Prediction]] * (MAX(Table1[RSXFS]) - MIN(RawData!B:B)) +MIN(Table1[RSXFS])</f>
        <v>155749.95161427598</v>
      </c>
      <c r="M14" s="14"/>
    </row>
    <row r="15" spans="1:15" x14ac:dyDescent="0.25">
      <c r="A15">
        <f>NormData!A21</f>
        <v>4.6658056183403296E-2</v>
      </c>
      <c r="B15">
        <f>NormData!B15</f>
        <v>1.953237599925297E-2</v>
      </c>
      <c r="C15">
        <f>NormData!B16</f>
        <v>1.7061901919946085E-2</v>
      </c>
      <c r="D15">
        <f>NormData!B17</f>
        <v>2.5577628101287407E-2</v>
      </c>
      <c r="E15">
        <f>NormData!B18</f>
        <v>2.7236113986902632E-2</v>
      </c>
      <c r="F15">
        <f>NormData!B19</f>
        <v>2.6862599417804466E-2</v>
      </c>
      <c r="G15">
        <f>NormData!B20</f>
        <v>3.2777933408848235E-2</v>
      </c>
      <c r="H15" s="14">
        <f>NormData!B21</f>
        <v>3.1068698261127282E-2</v>
      </c>
      <c r="I15" s="24">
        <v>3.0275981516545199E-2</v>
      </c>
      <c r="J15" s="22">
        <v>34001</v>
      </c>
      <c r="K15" s="16">
        <f>Table3[[#This Row],[TgtAmount]] * (MAX(Table1[RSXFS]) - MIN(RawData!B:B)) +MIN(Table1[RSXFS])</f>
        <v>157425</v>
      </c>
      <c r="L15" s="15">
        <f>Table3[[#This Row],[Prediction]] * (MAX(Table1[RSXFS]) - MIN(RawData!B:B)) +MIN(Table1[RSXFS])</f>
        <v>157034.49346271745</v>
      </c>
      <c r="M15" s="14"/>
    </row>
    <row r="16" spans="1:15" x14ac:dyDescent="0.25">
      <c r="A16">
        <f>NormData!A22</f>
        <v>4.9160477881821117E-2</v>
      </c>
      <c r="B16">
        <f>NormData!B16</f>
        <v>1.7061901919946085E-2</v>
      </c>
      <c r="C16">
        <f>NormData!B17</f>
        <v>2.5577628101287407E-2</v>
      </c>
      <c r="D16">
        <f>NormData!B18</f>
        <v>2.7236113986902632E-2</v>
      </c>
      <c r="E16">
        <f>NormData!B19</f>
        <v>2.6862599417804466E-2</v>
      </c>
      <c r="F16">
        <f>NormData!B20</f>
        <v>3.2777933408848235E-2</v>
      </c>
      <c r="G16">
        <f>NormData!B21</f>
        <v>3.1068698261127282E-2</v>
      </c>
      <c r="H16" s="14">
        <f>NormData!B22</f>
        <v>3.3321965498621653E-2</v>
      </c>
      <c r="I16" s="24">
        <v>3.1782684136311655E-2</v>
      </c>
      <c r="J16" s="22">
        <v>34029</v>
      </c>
      <c r="K16" s="16">
        <f>Table3[[#This Row],[TgtAmount]] * (MAX(Table1[RSXFS]) - MIN(RawData!B:B)) +MIN(Table1[RSXFS])</f>
        <v>158535</v>
      </c>
      <c r="L16" s="15">
        <f>Table3[[#This Row],[Prediction]] * (MAX(Table1[RSXFS]) - MIN(RawData!B:B)) +MIN(Table1[RSXFS])</f>
        <v>157776.72229386156</v>
      </c>
      <c r="M16" s="14"/>
    </row>
    <row r="17" spans="1:13" x14ac:dyDescent="0.25">
      <c r="A17">
        <f>NormData!A23</f>
        <v>5.1582176299644816E-2</v>
      </c>
      <c r="B17">
        <f>NormData!B17</f>
        <v>2.5577628101287407E-2</v>
      </c>
      <c r="C17">
        <f>NormData!B18</f>
        <v>2.7236113986902632E-2</v>
      </c>
      <c r="D17">
        <f>NormData!B19</f>
        <v>2.6862599417804466E-2</v>
      </c>
      <c r="E17">
        <f>NormData!B20</f>
        <v>3.2777933408848235E-2</v>
      </c>
      <c r="F17">
        <f>NormData!B21</f>
        <v>3.1068698261127282E-2</v>
      </c>
      <c r="G17">
        <f>NormData!B22</f>
        <v>3.3321965498621653E-2</v>
      </c>
      <c r="H17" s="14">
        <f>NormData!B23</f>
        <v>3.5835068958097349E-2</v>
      </c>
      <c r="I17" s="24">
        <v>3.4080721651007041E-2</v>
      </c>
      <c r="J17" s="22">
        <v>34060</v>
      </c>
      <c r="K17" s="16">
        <f>Table3[[#This Row],[TgtAmount]] * (MAX(Table1[RSXFS]) - MIN(RawData!B:B)) +MIN(Table1[RSXFS])</f>
        <v>159773</v>
      </c>
      <c r="L17" s="15">
        <f>Table3[[#This Row],[Prediction]] * (MAX(Table1[RSXFS]) - MIN(RawData!B:B)) +MIN(Table1[RSXFS])</f>
        <v>158908.77693827578</v>
      </c>
      <c r="M17" s="14"/>
    </row>
    <row r="18" spans="1:13" x14ac:dyDescent="0.25">
      <c r="A18">
        <f>NormData!A24</f>
        <v>5.4084597998062645E-2</v>
      </c>
      <c r="B18">
        <f>NormData!B18</f>
        <v>2.7236113986902632E-2</v>
      </c>
      <c r="C18">
        <f>NormData!B19</f>
        <v>2.6862599417804466E-2</v>
      </c>
      <c r="D18">
        <f>NormData!B20</f>
        <v>3.2777933408848235E-2</v>
      </c>
      <c r="E18">
        <f>NormData!B21</f>
        <v>3.1068698261127282E-2</v>
      </c>
      <c r="F18">
        <f>NormData!B22</f>
        <v>3.3321965498621653E-2</v>
      </c>
      <c r="G18">
        <f>NormData!B23</f>
        <v>3.5835068958097349E-2</v>
      </c>
      <c r="H18" s="14">
        <f>NormData!B24</f>
        <v>4.0363933108412603E-2</v>
      </c>
      <c r="I18" s="24">
        <v>3.5840278110185697E-2</v>
      </c>
      <c r="J18" s="22">
        <v>34090</v>
      </c>
      <c r="K18" s="16">
        <f>Table3[[#This Row],[TgtAmount]] * (MAX(Table1[RSXFS]) - MIN(RawData!B:B)) +MIN(Table1[RSXFS])</f>
        <v>162004</v>
      </c>
      <c r="L18" s="15">
        <f>Table3[[#This Row],[Prediction]] * (MAX(Table1[RSXFS]) - MIN(RawData!B:B)) +MIN(Table1[RSXFS])</f>
        <v>159775.56612208346</v>
      </c>
      <c r="M18" s="14"/>
    </row>
    <row r="19" spans="1:13" x14ac:dyDescent="0.25">
      <c r="A19">
        <f>NormData!A25</f>
        <v>5.6506296415886344E-2</v>
      </c>
      <c r="B19">
        <f>NormData!B19</f>
        <v>2.6862599417804466E-2</v>
      </c>
      <c r="C19">
        <f>NormData!B20</f>
        <v>3.2777933408848235E-2</v>
      </c>
      <c r="D19">
        <f>NormData!B21</f>
        <v>3.1068698261127282E-2</v>
      </c>
      <c r="E19">
        <f>NormData!B22</f>
        <v>3.3321965498621653E-2</v>
      </c>
      <c r="F19">
        <f>NormData!B23</f>
        <v>3.5835068958097349E-2</v>
      </c>
      <c r="G19">
        <f>NormData!B24</f>
        <v>4.0363933108412603E-2</v>
      </c>
      <c r="H19" s="14">
        <f>NormData!B25</f>
        <v>4.2909516095635966E-2</v>
      </c>
      <c r="I19" s="24">
        <v>3.8601597956597011E-2</v>
      </c>
      <c r="J19" s="22">
        <v>34121</v>
      </c>
      <c r="K19" s="16">
        <f>Table3[[#This Row],[TgtAmount]] * (MAX(Table1[RSXFS]) - MIN(RawData!B:B)) +MIN(Table1[RSXFS])</f>
        <v>163258</v>
      </c>
      <c r="L19" s="15">
        <f>Table3[[#This Row],[Prediction]] * (MAX(Table1[RSXFS]) - MIN(RawData!B:B)) +MIN(Table1[RSXFS])</f>
        <v>161135.8419821829</v>
      </c>
      <c r="M19" s="14"/>
    </row>
    <row r="20" spans="1:13" x14ac:dyDescent="0.25">
      <c r="A20">
        <f>NormData!A26</f>
        <v>5.9008718114304165E-2</v>
      </c>
      <c r="B20">
        <f>NormData!B20</f>
        <v>3.2777933408848235E-2</v>
      </c>
      <c r="C20">
        <f>NormData!B21</f>
        <v>3.1068698261127282E-2</v>
      </c>
      <c r="D20">
        <f>NormData!B22</f>
        <v>3.3321965498621653E-2</v>
      </c>
      <c r="E20">
        <f>NormData!B23</f>
        <v>3.5835068958097349E-2</v>
      </c>
      <c r="F20">
        <f>NormData!B24</f>
        <v>4.0363933108412603E-2</v>
      </c>
      <c r="G20">
        <f>NormData!B25</f>
        <v>4.2909516095635966E-2</v>
      </c>
      <c r="H20" s="14">
        <f>NormData!B26</f>
        <v>4.1104872335156244E-2</v>
      </c>
      <c r="I20" s="24">
        <v>4.1271755914237082E-2</v>
      </c>
      <c r="J20" s="22">
        <v>34151</v>
      </c>
      <c r="K20" s="16">
        <f>Table3[[#This Row],[TgtAmount]] * (MAX(Table1[RSXFS]) - MIN(RawData!B:B)) +MIN(Table1[RSXFS])</f>
        <v>162369</v>
      </c>
      <c r="L20" s="15">
        <f>Table3[[#This Row],[Prediction]] * (MAX(Table1[RSXFS]) - MIN(RawData!B:B)) +MIN(Table1[RSXFS])</f>
        <v>162451.20985495963</v>
      </c>
      <c r="M20" s="14"/>
    </row>
    <row r="21" spans="1:13" x14ac:dyDescent="0.25">
      <c r="A21">
        <f>NormData!A27</f>
        <v>6.1511139812721986E-2</v>
      </c>
      <c r="B21">
        <f>NormData!B21</f>
        <v>3.1068698261127282E-2</v>
      </c>
      <c r="C21">
        <f>NormData!B22</f>
        <v>3.3321965498621653E-2</v>
      </c>
      <c r="D21">
        <f>NormData!B23</f>
        <v>3.5835068958097349E-2</v>
      </c>
      <c r="E21">
        <f>NormData!B24</f>
        <v>4.0363933108412603E-2</v>
      </c>
      <c r="F21">
        <f>NormData!B25</f>
        <v>4.2909516095635966E-2</v>
      </c>
      <c r="G21">
        <f>NormData!B26</f>
        <v>4.1104872335156244E-2</v>
      </c>
      <c r="H21" s="14">
        <f>NormData!B27</f>
        <v>4.659797246548035E-2</v>
      </c>
      <c r="I21" s="24">
        <v>4.2594334456231682E-2</v>
      </c>
      <c r="J21" s="22">
        <v>34182</v>
      </c>
      <c r="K21" s="16">
        <f>Table3[[#This Row],[TgtAmount]] * (MAX(Table1[RSXFS]) - MIN(RawData!B:B)) +MIN(Table1[RSXFS])</f>
        <v>165075</v>
      </c>
      <c r="L21" s="15">
        <f>Table3[[#This Row],[Prediction]] * (MAX(Table1[RSXFS]) - MIN(RawData!B:B)) +MIN(Table1[RSXFS])</f>
        <v>163102.73585115993</v>
      </c>
      <c r="M21" s="14"/>
    </row>
    <row r="22" spans="1:13" x14ac:dyDescent="0.25">
      <c r="A22">
        <f>NormData!A28</f>
        <v>6.3771391669357441E-2</v>
      </c>
      <c r="B22">
        <f>NormData!B22</f>
        <v>3.3321965498621653E-2</v>
      </c>
      <c r="C22">
        <f>NormData!B23</f>
        <v>3.5835068958097349E-2</v>
      </c>
      <c r="D22">
        <f>NormData!B24</f>
        <v>4.0363933108412603E-2</v>
      </c>
      <c r="E22">
        <f>NormData!B25</f>
        <v>4.2909516095635966E-2</v>
      </c>
      <c r="F22">
        <f>NormData!B26</f>
        <v>4.1104872335156244E-2</v>
      </c>
      <c r="G22">
        <f>NormData!B27</f>
        <v>4.659797246548035E-2</v>
      </c>
      <c r="H22" s="14">
        <f>NormData!B28</f>
        <v>5.3205526391646267E-2</v>
      </c>
      <c r="I22" s="24">
        <v>4.5846526579876236E-2</v>
      </c>
      <c r="J22" s="22">
        <v>34213</v>
      </c>
      <c r="K22" s="16">
        <f>Table3[[#This Row],[TgtAmount]] * (MAX(Table1[RSXFS]) - MIN(RawData!B:B)) +MIN(Table1[RSXFS])</f>
        <v>168330</v>
      </c>
      <c r="L22" s="15">
        <f>Table3[[#This Row],[Prediction]] * (MAX(Table1[RSXFS]) - MIN(RawData!B:B)) +MIN(Table1[RSXFS])</f>
        <v>164704.82423072547</v>
      </c>
      <c r="M22" s="14"/>
    </row>
    <row r="23" spans="1:13" x14ac:dyDescent="0.25">
      <c r="A23">
        <f>NormData!A29</f>
        <v>6.6273813367775269E-2</v>
      </c>
      <c r="B23">
        <f>NormData!B23</f>
        <v>3.5835068958097349E-2</v>
      </c>
      <c r="C23">
        <f>NormData!B24</f>
        <v>4.0363933108412603E-2</v>
      </c>
      <c r="D23">
        <f>NormData!B25</f>
        <v>4.2909516095635966E-2</v>
      </c>
      <c r="E23">
        <f>NormData!B26</f>
        <v>4.1104872335156244E-2</v>
      </c>
      <c r="F23">
        <f>NormData!B27</f>
        <v>4.659797246548035E-2</v>
      </c>
      <c r="G23">
        <f>NormData!B28</f>
        <v>5.3205526391646267E-2</v>
      </c>
      <c r="H23" s="14">
        <f>NormData!B29</f>
        <v>5.3067488398718686E-2</v>
      </c>
      <c r="I23" s="24">
        <v>5.0048167667289811E-2</v>
      </c>
      <c r="J23" s="22">
        <v>34243</v>
      </c>
      <c r="K23" s="16">
        <f>Table3[[#This Row],[TgtAmount]] * (MAX(Table1[RSXFS]) - MIN(RawData!B:B)) +MIN(Table1[RSXFS])</f>
        <v>168262</v>
      </c>
      <c r="L23" s="15">
        <f>Table3[[#This Row],[Prediction]] * (MAX(Table1[RSXFS]) - MIN(RawData!B:B)) +MIN(Table1[RSXFS])</f>
        <v>166774.62825992497</v>
      </c>
      <c r="M23" s="14"/>
    </row>
    <row r="24" spans="1:13" x14ac:dyDescent="0.25">
      <c r="A24">
        <f>NormData!A30</f>
        <v>6.8695511785598962E-2</v>
      </c>
      <c r="B24">
        <f>NormData!B24</f>
        <v>4.0363933108412603E-2</v>
      </c>
      <c r="C24">
        <f>NormData!B25</f>
        <v>4.2909516095635966E-2</v>
      </c>
      <c r="D24">
        <f>NormData!B26</f>
        <v>4.1104872335156244E-2</v>
      </c>
      <c r="E24">
        <f>NormData!B27</f>
        <v>4.659797246548035E-2</v>
      </c>
      <c r="F24">
        <f>NormData!B28</f>
        <v>5.3205526391646267E-2</v>
      </c>
      <c r="G24">
        <f>NormData!B29</f>
        <v>5.3067488398718686E-2</v>
      </c>
      <c r="H24" s="14">
        <f>NormData!B30</f>
        <v>5.1342013487123896E-2</v>
      </c>
      <c r="I24" s="24">
        <v>5.2778800912947073E-2</v>
      </c>
      <c r="J24" s="22">
        <v>34274</v>
      </c>
      <c r="K24" s="16">
        <f>Table3[[#This Row],[TgtAmount]] * (MAX(Table1[RSXFS]) - MIN(RawData!B:B)) +MIN(Table1[RSXFS])</f>
        <v>167412</v>
      </c>
      <c r="L24" s="15">
        <f>Table3[[#This Row],[Prediction]] * (MAX(Table1[RSXFS]) - MIN(RawData!B:B)) +MIN(Table1[RSXFS])</f>
        <v>168119.78734813415</v>
      </c>
      <c r="M24" s="14"/>
    </row>
    <row r="25" spans="1:13" x14ac:dyDescent="0.25">
      <c r="A25">
        <f>NormData!A31</f>
        <v>7.119793348401679E-2</v>
      </c>
      <c r="B25">
        <f>NormData!B25</f>
        <v>4.2909516095635966E-2</v>
      </c>
      <c r="C25">
        <f>NormData!B26</f>
        <v>4.1104872335156244E-2</v>
      </c>
      <c r="D25">
        <f>NormData!B27</f>
        <v>4.659797246548035E-2</v>
      </c>
      <c r="E25">
        <f>NormData!B28</f>
        <v>5.3205526391646267E-2</v>
      </c>
      <c r="F25">
        <f>NormData!B29</f>
        <v>5.3067488398718686E-2</v>
      </c>
      <c r="G25">
        <f>NormData!B30</f>
        <v>5.1342013487123896E-2</v>
      </c>
      <c r="H25" s="14">
        <f>NormData!B31</f>
        <v>5.5249706669265028E-2</v>
      </c>
      <c r="I25" s="24">
        <v>5.4235439885889011E-2</v>
      </c>
      <c r="J25" s="22">
        <v>34304</v>
      </c>
      <c r="K25" s="16">
        <f>Table3[[#This Row],[TgtAmount]] * (MAX(Table1[RSXFS]) - MIN(RawData!B:B)) +MIN(Table1[RSXFS])</f>
        <v>169337</v>
      </c>
      <c r="L25" s="15">
        <f>Table3[[#This Row],[Prediction]] * (MAX(Table1[RSXFS]) - MIN(RawData!B:B)) +MIN(Table1[RSXFS])</f>
        <v>168837.35392570688</v>
      </c>
      <c r="M25" s="14"/>
    </row>
    <row r="26" spans="1:13" x14ac:dyDescent="0.25">
      <c r="A26">
        <f>NormData!A32</f>
        <v>7.3619631901840496E-2</v>
      </c>
      <c r="B26">
        <f>NormData!B26</f>
        <v>4.1104872335156244E-2</v>
      </c>
      <c r="C26">
        <f>NormData!B27</f>
        <v>4.659797246548035E-2</v>
      </c>
      <c r="D26">
        <f>NormData!B28</f>
        <v>5.3205526391646267E-2</v>
      </c>
      <c r="E26">
        <f>NormData!B29</f>
        <v>5.3067488398718686E-2</v>
      </c>
      <c r="F26">
        <f>NormData!B30</f>
        <v>5.1342013487123896E-2</v>
      </c>
      <c r="G26">
        <f>NormData!B31</f>
        <v>5.5249706669265028E-2</v>
      </c>
      <c r="H26" s="14">
        <f>NormData!B32</f>
        <v>5.5609011444973593E-2</v>
      </c>
      <c r="I26" s="24">
        <v>5.6980672371079455E-2</v>
      </c>
      <c r="J26" s="22">
        <v>34335</v>
      </c>
      <c r="K26" s="16">
        <f>Table3[[#This Row],[TgtAmount]] * (MAX(Table1[RSXFS]) - MIN(RawData!B:B)) +MIN(Table1[RSXFS])</f>
        <v>169514</v>
      </c>
      <c r="L26" s="15">
        <f>Table3[[#This Row],[Prediction]] * (MAX(Table1[RSXFS]) - MIN(RawData!B:B)) +MIN(Table1[RSXFS])</f>
        <v>170189.70486209641</v>
      </c>
      <c r="M26" s="14"/>
    </row>
    <row r="27" spans="1:13" x14ac:dyDescent="0.25">
      <c r="A27">
        <f>NormData!A33</f>
        <v>7.612205360025831E-2</v>
      </c>
      <c r="B27">
        <f>NormData!B27</f>
        <v>4.659797246548035E-2</v>
      </c>
      <c r="C27">
        <f>NormData!B28</f>
        <v>5.3205526391646267E-2</v>
      </c>
      <c r="D27">
        <f>NormData!B29</f>
        <v>5.3067488398718686E-2</v>
      </c>
      <c r="E27">
        <f>NormData!B30</f>
        <v>5.1342013487123896E-2</v>
      </c>
      <c r="F27">
        <f>NormData!B31</f>
        <v>5.5249706669265028E-2</v>
      </c>
      <c r="G27">
        <f>NormData!B32</f>
        <v>5.5609011444973593E-2</v>
      </c>
      <c r="H27" s="14">
        <f>NormData!B33</f>
        <v>6.1329468269531361E-2</v>
      </c>
      <c r="I27" s="24">
        <v>5.8505123209148593E-2</v>
      </c>
      <c r="J27" s="22">
        <v>34366</v>
      </c>
      <c r="K27" s="16">
        <f>Table3[[#This Row],[TgtAmount]] * (MAX(Table1[RSXFS]) - MIN(RawData!B:B)) +MIN(Table1[RSXFS])</f>
        <v>172332</v>
      </c>
      <c r="L27" s="15">
        <f>Table3[[#This Row],[Prediction]] * (MAX(Table1[RSXFS]) - MIN(RawData!B:B)) +MIN(Table1[RSXFS])</f>
        <v>170940.67678504437</v>
      </c>
      <c r="M27" s="14"/>
    </row>
    <row r="28" spans="1:13" x14ac:dyDescent="0.25">
      <c r="A28">
        <f>NormData!A34</f>
        <v>7.8624475298676139E-2</v>
      </c>
      <c r="B28">
        <f>NormData!B28</f>
        <v>5.3205526391646267E-2</v>
      </c>
      <c r="C28">
        <f>NormData!B29</f>
        <v>5.3067488398718686E-2</v>
      </c>
      <c r="D28">
        <f>NormData!B30</f>
        <v>5.1342013487123896E-2</v>
      </c>
      <c r="E28">
        <f>NormData!B31</f>
        <v>5.5249706669265028E-2</v>
      </c>
      <c r="F28">
        <f>NormData!B32</f>
        <v>5.5609011444973593E-2</v>
      </c>
      <c r="G28">
        <f>NormData!B33</f>
        <v>6.1329468269531361E-2</v>
      </c>
      <c r="H28" s="14">
        <f>NormData!B34</f>
        <v>6.4751998505941724E-2</v>
      </c>
      <c r="I28" s="24">
        <v>6.1647247667518536E-2</v>
      </c>
      <c r="J28" s="22">
        <v>34394</v>
      </c>
      <c r="K28" s="16">
        <f>Table3[[#This Row],[TgtAmount]] * (MAX(Table1[RSXFS]) - MIN(RawData!B:B)) +MIN(Table1[RSXFS])</f>
        <v>174018</v>
      </c>
      <c r="L28" s="15">
        <f>Table3[[#This Row],[Prediction]] * (MAX(Table1[RSXFS]) - MIN(RawData!B:B)) +MIN(Table1[RSXFS])</f>
        <v>172488.54385147765</v>
      </c>
      <c r="M28" s="14"/>
    </row>
    <row r="29" spans="1:13" x14ac:dyDescent="0.25">
      <c r="A29">
        <f>NormData!A35</f>
        <v>8.1046173716499845E-2</v>
      </c>
      <c r="B29">
        <f>NormData!B29</f>
        <v>5.3067488398718686E-2</v>
      </c>
      <c r="C29">
        <f>NormData!B30</f>
        <v>5.1342013487123896E-2</v>
      </c>
      <c r="D29">
        <f>NormData!B31</f>
        <v>5.5249706669265028E-2</v>
      </c>
      <c r="E29">
        <f>NormData!B32</f>
        <v>5.5609011444973593E-2</v>
      </c>
      <c r="F29">
        <f>NormData!B33</f>
        <v>6.1329468269531361E-2</v>
      </c>
      <c r="G29">
        <f>NormData!B34</f>
        <v>6.4751998505941724E-2</v>
      </c>
      <c r="H29" s="14">
        <f>NormData!B35</f>
        <v>6.737269040108157E-2</v>
      </c>
      <c r="I29" s="24">
        <v>6.4648090025272248E-2</v>
      </c>
      <c r="J29" s="22">
        <v>34425</v>
      </c>
      <c r="K29" s="16">
        <f>Table3[[#This Row],[TgtAmount]] * (MAX(Table1[RSXFS]) - MIN(RawData!B:B)) +MIN(Table1[RSXFS])</f>
        <v>175309</v>
      </c>
      <c r="L29" s="15">
        <f>Table3[[#This Row],[Prediction]] * (MAX(Table1[RSXFS]) - MIN(RawData!B:B)) +MIN(Table1[RSXFS])</f>
        <v>173966.81281206958</v>
      </c>
      <c r="M29" s="14"/>
    </row>
    <row r="30" spans="1:13" x14ac:dyDescent="0.25">
      <c r="A30">
        <f>NormData!A36</f>
        <v>8.3548595414917659E-2</v>
      </c>
      <c r="B30">
        <f>NormData!B30</f>
        <v>5.1342013487123896E-2</v>
      </c>
      <c r="C30">
        <f>NormData!B31</f>
        <v>5.5249706669265028E-2</v>
      </c>
      <c r="D30">
        <f>NormData!B32</f>
        <v>5.5609011444973593E-2</v>
      </c>
      <c r="E30">
        <f>NormData!B33</f>
        <v>6.1329468269531361E-2</v>
      </c>
      <c r="F30">
        <f>NormData!B34</f>
        <v>6.4751998505941724E-2</v>
      </c>
      <c r="G30">
        <f>NormData!B35</f>
        <v>6.737269040108157E-2</v>
      </c>
      <c r="H30" s="14">
        <f>NormData!B36</f>
        <v>6.8290237059953143E-2</v>
      </c>
      <c r="I30" s="24">
        <v>6.8217615872029597E-2</v>
      </c>
      <c r="J30" s="22">
        <v>34455</v>
      </c>
      <c r="K30" s="16">
        <f>Table3[[#This Row],[TgtAmount]] * (MAX(Table1[RSXFS]) - MIN(RawData!B:B)) +MIN(Table1[RSXFS])</f>
        <v>175761</v>
      </c>
      <c r="L30" s="15">
        <f>Table3[[#This Row],[Prediction]] * (MAX(Table1[RSXFS]) - MIN(RawData!B:B)) +MIN(Table1[RSXFS])</f>
        <v>175725.22549564746</v>
      </c>
      <c r="M30" s="14"/>
    </row>
    <row r="31" spans="1:13" x14ac:dyDescent="0.25">
      <c r="A31">
        <f>NormData!A37</f>
        <v>8.5970293832741365E-2</v>
      </c>
      <c r="B31">
        <f>NormData!B31</f>
        <v>5.5249706669265028E-2</v>
      </c>
      <c r="C31">
        <f>NormData!B32</f>
        <v>5.5609011444973593E-2</v>
      </c>
      <c r="D31">
        <f>NormData!B33</f>
        <v>6.1329468269531361E-2</v>
      </c>
      <c r="E31">
        <f>NormData!B34</f>
        <v>6.4751998505941724E-2</v>
      </c>
      <c r="F31">
        <f>NormData!B35</f>
        <v>6.737269040108157E-2</v>
      </c>
      <c r="G31">
        <f>NormData!B36</f>
        <v>6.8290237059953143E-2</v>
      </c>
      <c r="H31" s="14">
        <f>NormData!B37</f>
        <v>6.9116435047034422E-2</v>
      </c>
      <c r="I31" s="24">
        <v>7.0903411564388757E-2</v>
      </c>
      <c r="J31" s="22">
        <v>34486</v>
      </c>
      <c r="K31" s="16">
        <f>Table3[[#This Row],[TgtAmount]] * (MAX(Table1[RSXFS]) - MIN(RawData!B:B)) +MIN(Table1[RSXFS])</f>
        <v>176168</v>
      </c>
      <c r="L31" s="15">
        <f>Table3[[#This Row],[Prediction]] * (MAX(Table1[RSXFS]) - MIN(RawData!B:B)) +MIN(Table1[RSXFS])</f>
        <v>177048.29679802607</v>
      </c>
      <c r="M31" s="14"/>
    </row>
    <row r="32" spans="1:13" x14ac:dyDescent="0.25">
      <c r="A32">
        <f>NormData!A38</f>
        <v>8.847271553115918E-2</v>
      </c>
      <c r="B32">
        <f>NormData!B32</f>
        <v>5.5609011444973593E-2</v>
      </c>
      <c r="C32">
        <f>NormData!B33</f>
        <v>6.1329468269531361E-2</v>
      </c>
      <c r="D32">
        <f>NormData!B34</f>
        <v>6.4751998505941724E-2</v>
      </c>
      <c r="E32">
        <f>NormData!B35</f>
        <v>6.737269040108157E-2</v>
      </c>
      <c r="F32">
        <f>NormData!B36</f>
        <v>6.8290237059953143E-2</v>
      </c>
      <c r="G32">
        <f>NormData!B37</f>
        <v>6.9116435047034422E-2</v>
      </c>
      <c r="H32" s="14">
        <f>NormData!B38</f>
        <v>7.1081446475768237E-2</v>
      </c>
      <c r="I32" s="24">
        <v>7.3135370275313208E-2</v>
      </c>
      <c r="J32" s="22">
        <v>34516</v>
      </c>
      <c r="K32" s="16">
        <f>Table3[[#This Row],[TgtAmount]] * (MAX(Table1[RSXFS]) - MIN(RawData!B:B)) +MIN(Table1[RSXFS])</f>
        <v>177136</v>
      </c>
      <c r="L32" s="15">
        <f>Table3[[#This Row],[Prediction]] * (MAX(Table1[RSXFS]) - MIN(RawData!B:B)) +MIN(Table1[RSXFS])</f>
        <v>178147.79983428423</v>
      </c>
      <c r="M32" s="14"/>
    </row>
    <row r="33" spans="1:13" x14ac:dyDescent="0.25">
      <c r="A33">
        <f>NormData!A39</f>
        <v>9.0975137229577008E-2</v>
      </c>
      <c r="B33">
        <f>NormData!B33</f>
        <v>6.1329468269531361E-2</v>
      </c>
      <c r="C33">
        <f>NormData!B34</f>
        <v>6.4751998505941724E-2</v>
      </c>
      <c r="D33">
        <f>NormData!B35</f>
        <v>6.737269040108157E-2</v>
      </c>
      <c r="E33">
        <f>NormData!B36</f>
        <v>6.8290237059953143E-2</v>
      </c>
      <c r="F33">
        <f>NormData!B37</f>
        <v>6.9116435047034422E-2</v>
      </c>
      <c r="G33">
        <f>NormData!B38</f>
        <v>7.1081446475768237E-2</v>
      </c>
      <c r="H33" s="14">
        <f>NormData!B39</f>
        <v>6.5852242508393929E-2</v>
      </c>
      <c r="I33" s="24">
        <v>7.5092805941458368E-2</v>
      </c>
      <c r="J33" s="22">
        <v>34547</v>
      </c>
      <c r="K33" s="16">
        <f>Table3[[#This Row],[TgtAmount]] * (MAX(Table1[RSXFS]) - MIN(RawData!B:B)) +MIN(Table1[RSXFS])</f>
        <v>174560</v>
      </c>
      <c r="L33" s="15">
        <f>Table3[[#This Row],[Prediction]] * (MAX(Table1[RSXFS]) - MIN(RawData!B:B)) +MIN(Table1[RSXFS])</f>
        <v>179112.06787726935</v>
      </c>
      <c r="M33" s="14"/>
    </row>
    <row r="34" spans="1:13" x14ac:dyDescent="0.25">
      <c r="A34">
        <f>NormData!A40</f>
        <v>9.323538908621247E-2</v>
      </c>
      <c r="B34">
        <f>NormData!B34</f>
        <v>6.4751998505941724E-2</v>
      </c>
      <c r="C34">
        <f>NormData!B35</f>
        <v>6.737269040108157E-2</v>
      </c>
      <c r="D34">
        <f>NormData!B36</f>
        <v>6.8290237059953143E-2</v>
      </c>
      <c r="E34">
        <f>NormData!B37</f>
        <v>6.9116435047034422E-2</v>
      </c>
      <c r="F34">
        <f>NormData!B38</f>
        <v>7.1081446475768237E-2</v>
      </c>
      <c r="G34">
        <f>NormData!B39</f>
        <v>6.5852242508393929E-2</v>
      </c>
      <c r="H34" s="14">
        <f>NormData!B40</f>
        <v>6.9538668907754078E-2</v>
      </c>
      <c r="I34" s="24">
        <v>7.3504347973957662E-2</v>
      </c>
      <c r="J34" s="22">
        <v>34578</v>
      </c>
      <c r="K34" s="16">
        <f>Table3[[#This Row],[TgtAmount]] * (MAX(Table1[RSXFS]) - MIN(RawData!B:B)) +MIN(Table1[RSXFS])</f>
        <v>176376</v>
      </c>
      <c r="L34" s="15">
        <f>Table3[[#This Row],[Prediction]] * (MAX(Table1[RSXFS]) - MIN(RawData!B:B)) +MIN(Table1[RSXFS])</f>
        <v>178329.56489023508</v>
      </c>
      <c r="M34" s="14"/>
    </row>
    <row r="35" spans="1:13" x14ac:dyDescent="0.25">
      <c r="A35">
        <f>NormData!A41</f>
        <v>9.5737810784630284E-2</v>
      </c>
      <c r="B35">
        <f>NormData!B35</f>
        <v>6.737269040108157E-2</v>
      </c>
      <c r="C35">
        <f>NormData!B36</f>
        <v>6.8290237059953143E-2</v>
      </c>
      <c r="D35">
        <f>NormData!B37</f>
        <v>6.9116435047034422E-2</v>
      </c>
      <c r="E35">
        <f>NormData!B38</f>
        <v>7.1081446475768237E-2</v>
      </c>
      <c r="F35">
        <f>NormData!B39</f>
        <v>6.5852242508393929E-2</v>
      </c>
      <c r="G35">
        <f>NormData!B40</f>
        <v>6.9538668907754078E-2</v>
      </c>
      <c r="H35" s="14">
        <f>NormData!B41</f>
        <v>6.9491979586616806E-2</v>
      </c>
      <c r="I35" s="24">
        <v>7.4399897353433581E-2</v>
      </c>
      <c r="J35" s="22">
        <v>34608</v>
      </c>
      <c r="K35" s="16">
        <f>Table3[[#This Row],[TgtAmount]] * (MAX(Table1[RSXFS]) - MIN(RawData!B:B)) +MIN(Table1[RSXFS])</f>
        <v>176353</v>
      </c>
      <c r="L35" s="15">
        <f>Table3[[#This Row],[Prediction]] * (MAX(Table1[RSXFS]) - MIN(RawData!B:B)) +MIN(Table1[RSXFS])</f>
        <v>178770.72863445373</v>
      </c>
      <c r="M35" s="14"/>
    </row>
    <row r="36" spans="1:13" x14ac:dyDescent="0.25">
      <c r="A36">
        <f>NormData!A42</f>
        <v>9.815950920245399E-2</v>
      </c>
      <c r="B36">
        <f>NormData!B36</f>
        <v>6.8290237059953143E-2</v>
      </c>
      <c r="C36">
        <f>NormData!B37</f>
        <v>6.9116435047034422E-2</v>
      </c>
      <c r="D36">
        <f>NormData!B38</f>
        <v>7.1081446475768237E-2</v>
      </c>
      <c r="E36">
        <f>NormData!B39</f>
        <v>6.5852242508393929E-2</v>
      </c>
      <c r="F36">
        <f>NormData!B40</f>
        <v>6.9538668907754078E-2</v>
      </c>
      <c r="G36">
        <f>NormData!B41</f>
        <v>6.9491979586616806E-2</v>
      </c>
      <c r="H36" s="14">
        <f>NormData!B42</f>
        <v>7.490591086805598E-2</v>
      </c>
      <c r="I36" s="24">
        <v>7.4060391378780788E-2</v>
      </c>
      <c r="J36" s="22">
        <v>34639</v>
      </c>
      <c r="K36" s="16">
        <f>Table3[[#This Row],[TgtAmount]] * (MAX(Table1[RSXFS]) - MIN(RawData!B:B)) +MIN(Table1[RSXFS])</f>
        <v>179020</v>
      </c>
      <c r="L36" s="15">
        <f>Table3[[#This Row],[Prediction]] * (MAX(Table1[RSXFS]) - MIN(RawData!B:B)) +MIN(Table1[RSXFS])</f>
        <v>178603.48188023223</v>
      </c>
      <c r="M36" s="14"/>
    </row>
    <row r="37" spans="1:13" x14ac:dyDescent="0.25">
      <c r="A37">
        <f>NormData!A43</f>
        <v>0.10066193090087182</v>
      </c>
      <c r="B37">
        <f>NormData!B37</f>
        <v>6.9116435047034422E-2</v>
      </c>
      <c r="C37">
        <f>NormData!B38</f>
        <v>7.1081446475768237E-2</v>
      </c>
      <c r="D37">
        <f>NormData!B39</f>
        <v>6.5852242508393929E-2</v>
      </c>
      <c r="E37">
        <f>NormData!B40</f>
        <v>6.9538668907754078E-2</v>
      </c>
      <c r="F37">
        <f>NormData!B41</f>
        <v>6.9491979586616806E-2</v>
      </c>
      <c r="G37">
        <f>NormData!B42</f>
        <v>7.490591086805598E-2</v>
      </c>
      <c r="H37" s="14">
        <f>NormData!B43</f>
        <v>7.9700701151805248E-2</v>
      </c>
      <c r="I37" s="24">
        <v>7.6525256123023369E-2</v>
      </c>
      <c r="J37" s="22">
        <v>34669</v>
      </c>
      <c r="K37" s="16">
        <f>Table3[[#This Row],[TgtAmount]] * (MAX(Table1[RSXFS]) - MIN(RawData!B:B)) +MIN(Table1[RSXFS])</f>
        <v>181382</v>
      </c>
      <c r="L37" s="15">
        <f>Table3[[#This Row],[Prediction]] * (MAX(Table1[RSXFS]) - MIN(RawData!B:B)) +MIN(Table1[RSXFS])</f>
        <v>179817.71862081153</v>
      </c>
      <c r="M37" s="14"/>
    </row>
    <row r="38" spans="1:13" x14ac:dyDescent="0.25">
      <c r="A38">
        <f>NormData!A44</f>
        <v>0.10308362931869551</v>
      </c>
      <c r="B38">
        <f>NormData!B38</f>
        <v>7.1081446475768237E-2</v>
      </c>
      <c r="C38">
        <f>NormData!B39</f>
        <v>6.5852242508393929E-2</v>
      </c>
      <c r="D38">
        <f>NormData!B40</f>
        <v>6.9538668907754078E-2</v>
      </c>
      <c r="E38">
        <f>NormData!B41</f>
        <v>6.9491979586616806E-2</v>
      </c>
      <c r="F38">
        <f>NormData!B42</f>
        <v>7.490591086805598E-2</v>
      </c>
      <c r="G38">
        <f>NormData!B43</f>
        <v>7.9700701151805248E-2</v>
      </c>
      <c r="H38" s="14">
        <f>NormData!B44</f>
        <v>7.6933851381800908E-2</v>
      </c>
      <c r="I38" s="24">
        <v>7.9681446961737762E-2</v>
      </c>
      <c r="J38" s="22">
        <v>34700</v>
      </c>
      <c r="K38" s="16">
        <f>Table3[[#This Row],[TgtAmount]] * (MAX(Table1[RSXFS]) - MIN(RawData!B:B)) +MIN(Table1[RSXFS])</f>
        <v>180019</v>
      </c>
      <c r="L38" s="15">
        <f>Table3[[#This Row],[Prediction]] * (MAX(Table1[RSXFS]) - MIN(RawData!B:B)) +MIN(Table1[RSXFS])</f>
        <v>181372.51503939735</v>
      </c>
      <c r="M38" s="14"/>
    </row>
    <row r="39" spans="1:13" x14ac:dyDescent="0.25">
      <c r="A39">
        <f>NormData!A45</f>
        <v>0.10558605101711334</v>
      </c>
      <c r="B39">
        <f>NormData!B39</f>
        <v>6.5852242508393929E-2</v>
      </c>
      <c r="C39">
        <f>NormData!B40</f>
        <v>6.9538668907754078E-2</v>
      </c>
      <c r="D39">
        <f>NormData!B41</f>
        <v>6.9491979586616806E-2</v>
      </c>
      <c r="E39">
        <f>NormData!B42</f>
        <v>7.490591086805598E-2</v>
      </c>
      <c r="F39">
        <f>NormData!B43</f>
        <v>7.9700701151805248E-2</v>
      </c>
      <c r="G39">
        <f>NormData!B44</f>
        <v>7.6933851381800908E-2</v>
      </c>
      <c r="H39" s="14">
        <f>NormData!B45</f>
        <v>8.0522839197918056E-2</v>
      </c>
      <c r="I39" s="24">
        <v>8.0825756223913942E-2</v>
      </c>
      <c r="J39" s="22">
        <v>34731</v>
      </c>
      <c r="K39" s="16">
        <f>Table3[[#This Row],[TgtAmount]] * (MAX(Table1[RSXFS]) - MIN(RawData!B:B)) +MIN(Table1[RSXFS])</f>
        <v>181787</v>
      </c>
      <c r="L39" s="15">
        <f>Table3[[#This Row],[Prediction]] * (MAX(Table1[RSXFS]) - MIN(RawData!B:B)) +MIN(Table1[RSXFS])</f>
        <v>181936.22237951204</v>
      </c>
      <c r="M39" s="14"/>
    </row>
    <row r="40" spans="1:13" x14ac:dyDescent="0.25">
      <c r="A40">
        <f>NormData!A46</f>
        <v>0.10808847271553115</v>
      </c>
      <c r="B40">
        <f>NormData!B40</f>
        <v>6.9538668907754078E-2</v>
      </c>
      <c r="C40">
        <f>NormData!B41</f>
        <v>6.9491979586616806E-2</v>
      </c>
      <c r="D40">
        <f>NormData!B42</f>
        <v>7.490591086805598E-2</v>
      </c>
      <c r="E40">
        <f>NormData!B43</f>
        <v>7.9700701151805248E-2</v>
      </c>
      <c r="F40">
        <f>NormData!B44</f>
        <v>7.6933851381800908E-2</v>
      </c>
      <c r="G40">
        <f>NormData!B45</f>
        <v>8.0522839197918056E-2</v>
      </c>
      <c r="H40" s="14">
        <f>NormData!B46</f>
        <v>8.1105440726891825E-2</v>
      </c>
      <c r="I40" s="24">
        <v>8.3492115989177856E-2</v>
      </c>
      <c r="J40" s="22">
        <v>34759</v>
      </c>
      <c r="K40" s="16">
        <f>Table3[[#This Row],[TgtAmount]] * (MAX(Table1[RSXFS]) - MIN(RawData!B:B)) +MIN(Table1[RSXFS])</f>
        <v>182074</v>
      </c>
      <c r="L40" s="15">
        <f>Table3[[#This Row],[Prediction]] * (MAX(Table1[RSXFS]) - MIN(RawData!B:B)) +MIN(Table1[RSXFS])</f>
        <v>183249.71919435682</v>
      </c>
      <c r="M40" s="14"/>
    </row>
    <row r="41" spans="1:13" x14ac:dyDescent="0.25">
      <c r="A41">
        <f>NormData!A47</f>
        <v>0.11051017113335486</v>
      </c>
      <c r="B41">
        <f>NormData!B41</f>
        <v>6.9491979586616806E-2</v>
      </c>
      <c r="C41">
        <f>NormData!B42</f>
        <v>7.490591086805598E-2</v>
      </c>
      <c r="D41">
        <f>NormData!B43</f>
        <v>7.9700701151805248E-2</v>
      </c>
      <c r="E41">
        <f>NormData!B44</f>
        <v>7.6933851381800908E-2</v>
      </c>
      <c r="F41">
        <f>NormData!B45</f>
        <v>8.0522839197918056E-2</v>
      </c>
      <c r="G41">
        <f>NormData!B46</f>
        <v>8.1105440726891825E-2</v>
      </c>
      <c r="H41" s="14">
        <f>NormData!B47</f>
        <v>7.9759570295847904E-2</v>
      </c>
      <c r="I41" s="24">
        <v>8.4882414910516971E-2</v>
      </c>
      <c r="J41" s="22">
        <v>34790</v>
      </c>
      <c r="K41" s="16">
        <f>Table3[[#This Row],[TgtAmount]] * (MAX(Table1[RSXFS]) - MIN(RawData!B:B)) +MIN(Table1[RSXFS])</f>
        <v>181411</v>
      </c>
      <c r="L41" s="15">
        <f>Table3[[#This Row],[Prediction]] * (MAX(Table1[RSXFS]) - MIN(RawData!B:B)) +MIN(Table1[RSXFS])</f>
        <v>183934.60546838905</v>
      </c>
      <c r="M41" s="14"/>
    </row>
    <row r="42" spans="1:13" x14ac:dyDescent="0.25">
      <c r="A42">
        <f>NormData!A48</f>
        <v>0.11301259283177269</v>
      </c>
      <c r="B42">
        <f>NormData!B42</f>
        <v>7.490591086805598E-2</v>
      </c>
      <c r="C42">
        <f>NormData!B43</f>
        <v>7.9700701151805248E-2</v>
      </c>
      <c r="D42">
        <f>NormData!B44</f>
        <v>7.6933851381800908E-2</v>
      </c>
      <c r="E42">
        <f>NormData!B45</f>
        <v>8.0522839197918056E-2</v>
      </c>
      <c r="F42">
        <f>NormData!B46</f>
        <v>8.1105440726891825E-2</v>
      </c>
      <c r="G42">
        <f>NormData!B47</f>
        <v>7.9759570295847904E-2</v>
      </c>
      <c r="H42" s="14">
        <f>NormData!B48</f>
        <v>8.567896422786013E-2</v>
      </c>
      <c r="I42" s="24">
        <v>8.4786314044085889E-2</v>
      </c>
      <c r="J42" s="22">
        <v>34820</v>
      </c>
      <c r="K42" s="16">
        <f>Table3[[#This Row],[TgtAmount]] * (MAX(Table1[RSXFS]) - MIN(RawData!B:B)) +MIN(Table1[RSXFS])</f>
        <v>184327</v>
      </c>
      <c r="L42" s="15">
        <f>Table3[[#This Row],[Prediction]] * (MAX(Table1[RSXFS]) - MIN(RawData!B:B)) +MIN(Table1[RSXFS])</f>
        <v>183887.2644517695</v>
      </c>
      <c r="M42" s="14"/>
    </row>
    <row r="43" spans="1:13" x14ac:dyDescent="0.25">
      <c r="A43">
        <f>NormData!A49</f>
        <v>0.11543429124959638</v>
      </c>
      <c r="B43">
        <f>NormData!B43</f>
        <v>7.9700701151805248E-2</v>
      </c>
      <c r="C43">
        <f>NormData!B44</f>
        <v>7.6933851381800908E-2</v>
      </c>
      <c r="D43">
        <f>NormData!B45</f>
        <v>8.0522839197918056E-2</v>
      </c>
      <c r="E43">
        <f>NormData!B46</f>
        <v>8.1105440726891825E-2</v>
      </c>
      <c r="F43">
        <f>NormData!B47</f>
        <v>7.9759570295847904E-2</v>
      </c>
      <c r="G43">
        <f>NormData!B48</f>
        <v>8.567896422786013E-2</v>
      </c>
      <c r="H43" s="14">
        <f>NormData!B49</f>
        <v>8.6722369056753915E-2</v>
      </c>
      <c r="I43" s="24">
        <v>8.727558594147429E-2</v>
      </c>
      <c r="J43" s="22">
        <v>34851</v>
      </c>
      <c r="K43" s="16">
        <f>Table3[[#This Row],[TgtAmount]] * (MAX(Table1[RSXFS]) - MIN(RawData!B:B)) +MIN(Table1[RSXFS])</f>
        <v>184841</v>
      </c>
      <c r="L43" s="15">
        <f>Table3[[#This Row],[Prediction]] * (MAX(Table1[RSXFS]) - MIN(RawData!B:B)) +MIN(Table1[RSXFS])</f>
        <v>185113.5245953172</v>
      </c>
      <c r="M43" s="14"/>
    </row>
    <row r="44" spans="1:13" x14ac:dyDescent="0.25">
      <c r="A44">
        <f>NormData!A50</f>
        <v>0.11793671294801421</v>
      </c>
      <c r="B44">
        <f>NormData!B44</f>
        <v>7.6933851381800908E-2</v>
      </c>
      <c r="C44">
        <f>NormData!B45</f>
        <v>8.0522839197918056E-2</v>
      </c>
      <c r="D44">
        <f>NormData!B46</f>
        <v>8.1105440726891825E-2</v>
      </c>
      <c r="E44">
        <f>NormData!B47</f>
        <v>7.9759570295847904E-2</v>
      </c>
      <c r="F44">
        <f>NormData!B48</f>
        <v>8.567896422786013E-2</v>
      </c>
      <c r="G44">
        <f>NormData!B49</f>
        <v>8.6722369056753915E-2</v>
      </c>
      <c r="H44" s="14">
        <f>NormData!B50</f>
        <v>8.6306225107486936E-2</v>
      </c>
      <c r="I44" s="24">
        <v>8.8976658221014165E-2</v>
      </c>
      <c r="J44" s="22">
        <v>34881</v>
      </c>
      <c r="K44" s="16">
        <f>Table3[[#This Row],[TgtAmount]] * (MAX(Table1[RSXFS]) - MIN(RawData!B:B)) +MIN(Table1[RSXFS])</f>
        <v>184636</v>
      </c>
      <c r="L44" s="15">
        <f>Table3[[#This Row],[Prediction]] * (MAX(Table1[RSXFS]) - MIN(RawData!B:B)) +MIN(Table1[RSXFS])</f>
        <v>185951.50341951955</v>
      </c>
      <c r="M44" s="14"/>
    </row>
    <row r="45" spans="1:13" x14ac:dyDescent="0.25">
      <c r="A45">
        <f>NormData!A51</f>
        <v>0.12043913464643204</v>
      </c>
      <c r="B45">
        <f>NormData!B45</f>
        <v>8.0522839197918056E-2</v>
      </c>
      <c r="C45">
        <f>NormData!B46</f>
        <v>8.1105440726891825E-2</v>
      </c>
      <c r="D45">
        <f>NormData!B47</f>
        <v>7.9759570295847904E-2</v>
      </c>
      <c r="E45">
        <f>NormData!B48</f>
        <v>8.567896422786013E-2</v>
      </c>
      <c r="F45">
        <f>NormData!B49</f>
        <v>8.6722369056753915E-2</v>
      </c>
      <c r="G45">
        <f>NormData!B50</f>
        <v>8.6306225107486936E-2</v>
      </c>
      <c r="H45" s="14">
        <f>NormData!B51</f>
        <v>9.227433833112067E-2</v>
      </c>
      <c r="I45" s="24">
        <v>8.9739788212118379E-2</v>
      </c>
      <c r="J45" s="22">
        <v>34912</v>
      </c>
      <c r="K45" s="16">
        <f>Table3[[#This Row],[TgtAmount]] * (MAX(Table1[RSXFS]) - MIN(RawData!B:B)) +MIN(Table1[RSXFS])</f>
        <v>187576</v>
      </c>
      <c r="L45" s="15">
        <f>Table3[[#This Row],[Prediction]] * (MAX(Table1[RSXFS]) - MIN(RawData!B:B)) +MIN(Table1[RSXFS])</f>
        <v>186327.43498947733</v>
      </c>
      <c r="M45" s="14"/>
    </row>
    <row r="46" spans="1:13" x14ac:dyDescent="0.25">
      <c r="A46">
        <f>NormData!A52</f>
        <v>0.12278010978366161</v>
      </c>
      <c r="B46">
        <f>NormData!B46</f>
        <v>8.1105440726891825E-2</v>
      </c>
      <c r="C46">
        <f>NormData!B47</f>
        <v>7.9759570295847904E-2</v>
      </c>
      <c r="D46">
        <f>NormData!B48</f>
        <v>8.567896422786013E-2</v>
      </c>
      <c r="E46">
        <f>NormData!B49</f>
        <v>8.6722369056753915E-2</v>
      </c>
      <c r="F46">
        <f>NormData!B50</f>
        <v>8.6306225107486936E-2</v>
      </c>
      <c r="G46">
        <f>NormData!B51</f>
        <v>9.227433833112067E-2</v>
      </c>
      <c r="H46" s="14">
        <f>NormData!B52</f>
        <v>9.3616148821196135E-2</v>
      </c>
      <c r="I46" s="24">
        <v>9.3256900855856792E-2</v>
      </c>
      <c r="J46" s="22">
        <v>34943</v>
      </c>
      <c r="K46" s="16">
        <f>Table3[[#This Row],[TgtAmount]] * (MAX(Table1[RSXFS]) - MIN(RawData!B:B)) +MIN(Table1[RSXFS])</f>
        <v>188237</v>
      </c>
      <c r="L46" s="15">
        <f>Table3[[#This Row],[Prediction]] * (MAX(Table1[RSXFS]) - MIN(RawData!B:B)) +MIN(Table1[RSXFS])</f>
        <v>188060.02798581048</v>
      </c>
      <c r="M46" s="14"/>
    </row>
    <row r="47" spans="1:13" x14ac:dyDescent="0.25">
      <c r="A47">
        <f>NormData!A53</f>
        <v>0.12528253148207943</v>
      </c>
      <c r="B47">
        <f>NormData!B47</f>
        <v>7.9759570295847904E-2</v>
      </c>
      <c r="C47">
        <f>NormData!B48</f>
        <v>8.567896422786013E-2</v>
      </c>
      <c r="D47">
        <f>NormData!B49</f>
        <v>8.6722369056753915E-2</v>
      </c>
      <c r="E47">
        <f>NormData!B50</f>
        <v>8.6306225107486936E-2</v>
      </c>
      <c r="F47">
        <f>NormData!B51</f>
        <v>9.227433833112067E-2</v>
      </c>
      <c r="G47">
        <f>NormData!B52</f>
        <v>9.3616148821196135E-2</v>
      </c>
      <c r="H47" s="14">
        <f>NormData!B53</f>
        <v>9.6744333337393268E-2</v>
      </c>
      <c r="I47" s="24">
        <v>9.5654710992314276E-2</v>
      </c>
      <c r="J47" s="22">
        <v>34973</v>
      </c>
      <c r="K47" s="16">
        <f>Table3[[#This Row],[TgtAmount]] * (MAX(Table1[RSXFS]) - MIN(RawData!B:B)) +MIN(Table1[RSXFS])</f>
        <v>189778</v>
      </c>
      <c r="L47" s="15">
        <f>Table3[[#This Row],[Prediction]] * (MAX(Table1[RSXFS]) - MIN(RawData!B:B)) +MIN(Table1[RSXFS])</f>
        <v>189241.23241961189</v>
      </c>
      <c r="M47" s="14"/>
    </row>
    <row r="48" spans="1:13" x14ac:dyDescent="0.25">
      <c r="A48">
        <f>NormData!A54</f>
        <v>0.12770422989990313</v>
      </c>
      <c r="B48">
        <f>NormData!B48</f>
        <v>8.567896422786013E-2</v>
      </c>
      <c r="C48">
        <f>NormData!B49</f>
        <v>8.6722369056753915E-2</v>
      </c>
      <c r="D48">
        <f>NormData!B50</f>
        <v>8.6306225107486936E-2</v>
      </c>
      <c r="E48">
        <f>NormData!B51</f>
        <v>9.227433833112067E-2</v>
      </c>
      <c r="F48">
        <f>NormData!B52</f>
        <v>9.3616148821196135E-2</v>
      </c>
      <c r="G48">
        <f>NormData!B53</f>
        <v>9.6744333337393268E-2</v>
      </c>
      <c r="H48" s="14">
        <f>NormData!B54</f>
        <v>0.10032926121254197</v>
      </c>
      <c r="I48" s="24">
        <v>9.8488516988512478E-2</v>
      </c>
      <c r="J48" s="22">
        <v>35004</v>
      </c>
      <c r="K48" s="16">
        <f>Table3[[#This Row],[TgtAmount]] * (MAX(Table1[RSXFS]) - MIN(RawData!B:B)) +MIN(Table1[RSXFS])</f>
        <v>191544</v>
      </c>
      <c r="L48" s="15">
        <f>Table3[[#This Row],[Prediction]] * (MAX(Table1[RSXFS]) - MIN(RawData!B:B)) +MIN(Table1[RSXFS])</f>
        <v>190637.21626184703</v>
      </c>
      <c r="M48" s="14"/>
    </row>
    <row r="49" spans="1:13" x14ac:dyDescent="0.25">
      <c r="A49">
        <f>NormData!A55</f>
        <v>0.13020665159832095</v>
      </c>
      <c r="B49">
        <f>NormData!B49</f>
        <v>8.6722369056753915E-2</v>
      </c>
      <c r="C49">
        <f>NormData!B50</f>
        <v>8.6306225107486936E-2</v>
      </c>
      <c r="D49">
        <f>NormData!B51</f>
        <v>9.227433833112067E-2</v>
      </c>
      <c r="E49">
        <f>NormData!B52</f>
        <v>9.3616148821196135E-2</v>
      </c>
      <c r="F49">
        <f>NormData!B53</f>
        <v>9.6744333337393268E-2</v>
      </c>
      <c r="G49">
        <f>NormData!B54</f>
        <v>0.10032926121254197</v>
      </c>
      <c r="H49" s="14">
        <f>NormData!B55</f>
        <v>9.7113787965522988E-2</v>
      </c>
      <c r="I49" s="24">
        <v>0.10185559186606902</v>
      </c>
      <c r="J49" s="22">
        <v>35034</v>
      </c>
      <c r="K49" s="16">
        <f>Table3[[#This Row],[TgtAmount]] * (MAX(Table1[RSXFS]) - MIN(RawData!B:B)) +MIN(Table1[RSXFS])</f>
        <v>189960</v>
      </c>
      <c r="L49" s="15">
        <f>Table3[[#This Row],[Prediction]] * (MAX(Table1[RSXFS]) - MIN(RawData!B:B)) +MIN(Table1[RSXFS])</f>
        <v>192295.8979538792</v>
      </c>
      <c r="M49" s="14"/>
    </row>
    <row r="50" spans="1:13" x14ac:dyDescent="0.25">
      <c r="A50">
        <f>NormData!A56</f>
        <v>0.13262835001614465</v>
      </c>
      <c r="B50">
        <f>NormData!B50</f>
        <v>8.6306225107486936E-2</v>
      </c>
      <c r="C50">
        <f>NormData!B51</f>
        <v>9.227433833112067E-2</v>
      </c>
      <c r="D50">
        <f>NormData!B52</f>
        <v>9.3616148821196135E-2</v>
      </c>
      <c r="E50">
        <f>NormData!B53</f>
        <v>9.6744333337393268E-2</v>
      </c>
      <c r="F50">
        <f>NormData!B54</f>
        <v>0.10032926121254197</v>
      </c>
      <c r="G50">
        <f>NormData!B55</f>
        <v>9.7113787965522988E-2</v>
      </c>
      <c r="H50" s="14">
        <f>NormData!B56</f>
        <v>9.9454343933839201E-2</v>
      </c>
      <c r="I50" s="24">
        <v>0.10200558056552361</v>
      </c>
      <c r="J50" s="22">
        <v>35065</v>
      </c>
      <c r="K50" s="16">
        <f>Table3[[#This Row],[TgtAmount]] * (MAX(Table1[RSXFS]) - MIN(RawData!B:B)) +MIN(Table1[RSXFS])</f>
        <v>191113</v>
      </c>
      <c r="L50" s="15">
        <f>Table3[[#This Row],[Prediction]] * (MAX(Table1[RSXFS]) - MIN(RawData!B:B)) +MIN(Table1[RSXFS])</f>
        <v>192369.78508702712</v>
      </c>
      <c r="M50" s="14"/>
    </row>
    <row r="51" spans="1:13" x14ac:dyDescent="0.25">
      <c r="A51">
        <f>NormData!A57</f>
        <v>0.13513077171456248</v>
      </c>
      <c r="B51">
        <f>NormData!B51</f>
        <v>9.227433833112067E-2</v>
      </c>
      <c r="C51">
        <f>NormData!B52</f>
        <v>9.3616148821196135E-2</v>
      </c>
      <c r="D51">
        <f>NormData!B53</f>
        <v>9.6744333337393268E-2</v>
      </c>
      <c r="E51">
        <f>NormData!B54</f>
        <v>0.10032926121254197</v>
      </c>
      <c r="F51">
        <f>NormData!B55</f>
        <v>9.7113787965522988E-2</v>
      </c>
      <c r="G51">
        <f>NormData!B56</f>
        <v>9.9454343933839201E-2</v>
      </c>
      <c r="H51" s="14">
        <f>NormData!B57</f>
        <v>9.9507123166429165E-2</v>
      </c>
      <c r="I51" s="24">
        <v>0.10304760937669949</v>
      </c>
      <c r="J51" s="22">
        <v>35096</v>
      </c>
      <c r="K51" s="16">
        <f>Table3[[#This Row],[TgtAmount]] * (MAX(Table1[RSXFS]) - MIN(RawData!B:B)) +MIN(Table1[RSXFS])</f>
        <v>191139</v>
      </c>
      <c r="L51" s="15">
        <f>Table3[[#This Row],[Prediction]] * (MAX(Table1[RSXFS]) - MIN(RawData!B:B)) +MIN(Table1[RSXFS])</f>
        <v>192883.10723593095</v>
      </c>
      <c r="M51" s="14"/>
    </row>
    <row r="52" spans="1:13" x14ac:dyDescent="0.25">
      <c r="A52">
        <f>NormData!A58</f>
        <v>0.1376331934129803</v>
      </c>
      <c r="B52">
        <f>NormData!B52</f>
        <v>9.3616148821196135E-2</v>
      </c>
      <c r="C52">
        <f>NormData!B53</f>
        <v>9.6744333337393268E-2</v>
      </c>
      <c r="D52">
        <f>NormData!B54</f>
        <v>0.10032926121254197</v>
      </c>
      <c r="E52">
        <f>NormData!B55</f>
        <v>9.7113787965522988E-2</v>
      </c>
      <c r="F52">
        <f>NormData!B56</f>
        <v>9.9454343933839201E-2</v>
      </c>
      <c r="G52">
        <f>NormData!B57</f>
        <v>9.9507123166429165E-2</v>
      </c>
      <c r="H52" s="14">
        <f>NormData!B58</f>
        <v>0.10389997929430106</v>
      </c>
      <c r="I52" s="24">
        <v>0.10296643782492386</v>
      </c>
      <c r="J52" s="22">
        <v>35125</v>
      </c>
      <c r="K52" s="16">
        <f>Table3[[#This Row],[TgtAmount]] * (MAX(Table1[RSXFS]) - MIN(RawData!B:B)) +MIN(Table1[RSXFS])</f>
        <v>193303</v>
      </c>
      <c r="L52" s="15">
        <f>Table3[[#This Row],[Prediction]] * (MAX(Table1[RSXFS]) - MIN(RawData!B:B)) +MIN(Table1[RSXFS])</f>
        <v>192843.12066843835</v>
      </c>
      <c r="M52" s="14"/>
    </row>
    <row r="53" spans="1:13" x14ac:dyDescent="0.25">
      <c r="A53">
        <f>NormData!A59</f>
        <v>0.140054891830804</v>
      </c>
      <c r="B53">
        <f>NormData!B53</f>
        <v>9.6744333337393268E-2</v>
      </c>
      <c r="C53">
        <f>NormData!B54</f>
        <v>0.10032926121254197</v>
      </c>
      <c r="D53">
        <f>NormData!B55</f>
        <v>9.7113787965522988E-2</v>
      </c>
      <c r="E53">
        <f>NormData!B56</f>
        <v>9.9454343933839201E-2</v>
      </c>
      <c r="F53">
        <f>NormData!B57</f>
        <v>9.9507123166429165E-2</v>
      </c>
      <c r="G53">
        <f>NormData!B58</f>
        <v>0.10389997929430106</v>
      </c>
      <c r="H53" s="14">
        <f>NormData!B59</f>
        <v>0.10819742680941419</v>
      </c>
      <c r="I53" s="24">
        <v>0.10515758138163006</v>
      </c>
      <c r="J53" s="22">
        <v>35156</v>
      </c>
      <c r="K53" s="16">
        <f>Table3[[#This Row],[TgtAmount]] * (MAX(Table1[RSXFS]) - MIN(RawData!B:B)) +MIN(Table1[RSXFS])</f>
        <v>195420</v>
      </c>
      <c r="L53" s="15">
        <f>Table3[[#This Row],[Prediction]] * (MAX(Table1[RSXFS]) - MIN(RawData!B:B)) +MIN(Table1[RSXFS])</f>
        <v>193922.51742505585</v>
      </c>
      <c r="M53" s="14"/>
    </row>
    <row r="54" spans="1:13" x14ac:dyDescent="0.25">
      <c r="A54">
        <f>NormData!A60</f>
        <v>0.14255731352922182</v>
      </c>
      <c r="B54">
        <f>NormData!B54</f>
        <v>0.10032926121254197</v>
      </c>
      <c r="C54">
        <f>NormData!B55</f>
        <v>9.7113787965522988E-2</v>
      </c>
      <c r="D54">
        <f>NormData!B56</f>
        <v>9.9454343933839201E-2</v>
      </c>
      <c r="E54">
        <f>NormData!B57</f>
        <v>9.9507123166429165E-2</v>
      </c>
      <c r="F54">
        <f>NormData!B58</f>
        <v>0.10389997929430106</v>
      </c>
      <c r="G54">
        <f>NormData!B59</f>
        <v>0.10819742680941419</v>
      </c>
      <c r="H54" s="14">
        <f>NormData!B60</f>
        <v>0.10706064333824586</v>
      </c>
      <c r="I54" s="24">
        <v>0.10799035740223241</v>
      </c>
      <c r="J54" s="22">
        <v>35186</v>
      </c>
      <c r="K54" s="16">
        <f>Table3[[#This Row],[TgtAmount]] * (MAX(Table1[RSXFS]) - MIN(RawData!B:B)) +MIN(Table1[RSXFS])</f>
        <v>194860</v>
      </c>
      <c r="L54" s="15">
        <f>Table3[[#This Row],[Prediction]] * (MAX(Table1[RSXFS]) - MIN(RawData!B:B)) +MIN(Table1[RSXFS])</f>
        <v>195317.99388277292</v>
      </c>
      <c r="M54" s="14"/>
    </row>
    <row r="55" spans="1:13" x14ac:dyDescent="0.25">
      <c r="A55">
        <f>NormData!A61</f>
        <v>0.14497901194704552</v>
      </c>
      <c r="B55">
        <f>NormData!B55</f>
        <v>9.7113787965522988E-2</v>
      </c>
      <c r="C55">
        <f>NormData!B56</f>
        <v>9.9454343933839201E-2</v>
      </c>
      <c r="D55">
        <f>NormData!B57</f>
        <v>9.9507123166429165E-2</v>
      </c>
      <c r="E55">
        <f>NormData!B58</f>
        <v>0.10389997929430106</v>
      </c>
      <c r="F55">
        <f>NormData!B59</f>
        <v>0.10819742680941419</v>
      </c>
      <c r="G55">
        <f>NormData!B60</f>
        <v>0.10706064333824586</v>
      </c>
      <c r="H55" s="14">
        <f>NormData!B61</f>
        <v>0.10799036982002282</v>
      </c>
      <c r="I55" s="24">
        <v>0.10940914971263331</v>
      </c>
      <c r="J55" s="22">
        <v>35217</v>
      </c>
      <c r="K55" s="16">
        <f>Table3[[#This Row],[TgtAmount]] * (MAX(Table1[RSXFS]) - MIN(RawData!B:B)) +MIN(Table1[RSXFS])</f>
        <v>195318</v>
      </c>
      <c r="L55" s="15">
        <f>Table3[[#This Row],[Prediction]] * (MAX(Table1[RSXFS]) - MIN(RawData!B:B)) +MIN(Table1[RSXFS])</f>
        <v>196016.91651313799</v>
      </c>
      <c r="M55" s="14"/>
    </row>
    <row r="56" spans="1:13" x14ac:dyDescent="0.25">
      <c r="A56">
        <f>NormData!A62</f>
        <v>0.14748143364546334</v>
      </c>
      <c r="B56">
        <f>NormData!B56</f>
        <v>9.9454343933839201E-2</v>
      </c>
      <c r="C56">
        <f>NormData!B57</f>
        <v>9.9507123166429165E-2</v>
      </c>
      <c r="D56">
        <f>NormData!B58</f>
        <v>0.10389997929430106</v>
      </c>
      <c r="E56">
        <f>NormData!B59</f>
        <v>0.10819742680941419</v>
      </c>
      <c r="F56">
        <f>NormData!B60</f>
        <v>0.10706064333824586</v>
      </c>
      <c r="G56">
        <f>NormData!B61</f>
        <v>0.10799036982002282</v>
      </c>
      <c r="H56" s="14">
        <f>NormData!B62</f>
        <v>0.1123121769809467</v>
      </c>
      <c r="I56" s="24">
        <v>0.11056291753991669</v>
      </c>
      <c r="J56" s="22">
        <v>35247</v>
      </c>
      <c r="K56" s="16">
        <f>Table3[[#This Row],[TgtAmount]] * (MAX(Table1[RSXFS]) - MIN(RawData!B:B)) +MIN(Table1[RSXFS])</f>
        <v>197447</v>
      </c>
      <c r="L56" s="15">
        <f>Table3[[#This Row],[Prediction]] * (MAX(Table1[RSXFS]) - MIN(RawData!B:B)) +MIN(Table1[RSXFS])</f>
        <v>196585.28331267869</v>
      </c>
      <c r="M56" s="14"/>
    </row>
    <row r="57" spans="1:13" x14ac:dyDescent="0.25">
      <c r="A57">
        <f>NormData!A63</f>
        <v>0.14998385534388117</v>
      </c>
      <c r="B57">
        <f>NormData!B57</f>
        <v>9.9507123166429165E-2</v>
      </c>
      <c r="C57">
        <f>NormData!B58</f>
        <v>0.10389997929430106</v>
      </c>
      <c r="D57">
        <f>NormData!B59</f>
        <v>0.10819742680941419</v>
      </c>
      <c r="E57">
        <f>NormData!B60</f>
        <v>0.10706064333824586</v>
      </c>
      <c r="F57">
        <f>NormData!B61</f>
        <v>0.10799036982002282</v>
      </c>
      <c r="G57">
        <f>NormData!B62</f>
        <v>0.1123121769809467</v>
      </c>
      <c r="H57" s="14">
        <f>NormData!B63</f>
        <v>0.11524345436017361</v>
      </c>
      <c r="I57" s="24">
        <v>0.11341638651010157</v>
      </c>
      <c r="J57" s="22">
        <v>35278</v>
      </c>
      <c r="K57" s="16">
        <f>Table3[[#This Row],[TgtAmount]] * (MAX(Table1[RSXFS]) - MIN(RawData!B:B)) +MIN(Table1[RSXFS])</f>
        <v>198891</v>
      </c>
      <c r="L57" s="15">
        <f>Table3[[#This Row],[Prediction]] * (MAX(Table1[RSXFS]) - MIN(RawData!B:B)) +MIN(Table1[RSXFS])</f>
        <v>197990.95348983322</v>
      </c>
      <c r="M57" s="14"/>
    </row>
    <row r="58" spans="1:13" x14ac:dyDescent="0.25">
      <c r="A58">
        <f>NormData!A64</f>
        <v>0.15224410720051662</v>
      </c>
      <c r="B58">
        <f>NormData!B58</f>
        <v>0.10389997929430106</v>
      </c>
      <c r="C58">
        <f>NormData!B59</f>
        <v>0.10819742680941419</v>
      </c>
      <c r="D58">
        <f>NormData!B60</f>
        <v>0.10706064333824586</v>
      </c>
      <c r="E58">
        <f>NormData!B61</f>
        <v>0.10799036982002282</v>
      </c>
      <c r="F58">
        <f>NormData!B62</f>
        <v>0.1123121769809467</v>
      </c>
      <c r="G58">
        <f>NormData!B63</f>
        <v>0.11524345436017361</v>
      </c>
      <c r="H58" s="14">
        <f>NormData!B64</f>
        <v>0.11820924123763241</v>
      </c>
      <c r="I58" s="24">
        <v>0.11590254511097242</v>
      </c>
      <c r="J58" s="22">
        <v>35309</v>
      </c>
      <c r="K58" s="16">
        <f>Table3[[#This Row],[TgtAmount]] * (MAX(Table1[RSXFS]) - MIN(RawData!B:B)) +MIN(Table1[RSXFS])</f>
        <v>200352</v>
      </c>
      <c r="L58" s="15">
        <f>Table3[[#This Row],[Prediction]] * (MAX(Table1[RSXFS]) - MIN(RawData!B:B)) +MIN(Table1[RSXFS])</f>
        <v>199215.67996747702</v>
      </c>
      <c r="M58" s="14"/>
    </row>
    <row r="59" spans="1:13" x14ac:dyDescent="0.25">
      <c r="A59">
        <f>NormData!A65</f>
        <v>0.15474652889893445</v>
      </c>
      <c r="B59">
        <f>NormData!B59</f>
        <v>0.10819742680941419</v>
      </c>
      <c r="C59">
        <f>NormData!B60</f>
        <v>0.10706064333824586</v>
      </c>
      <c r="D59">
        <f>NormData!B61</f>
        <v>0.10799036982002282</v>
      </c>
      <c r="E59">
        <f>NormData!B62</f>
        <v>0.1123121769809467</v>
      </c>
      <c r="F59">
        <f>NormData!B63</f>
        <v>0.11524345436017361</v>
      </c>
      <c r="G59">
        <f>NormData!B64</f>
        <v>0.11820924123763241</v>
      </c>
      <c r="H59" s="14">
        <f>NormData!B65</f>
        <v>0.11183513391715284</v>
      </c>
      <c r="I59" s="24">
        <v>0.11868725752249006</v>
      </c>
      <c r="J59" s="22">
        <v>35339</v>
      </c>
      <c r="K59" s="16">
        <f>Table3[[#This Row],[TgtAmount]] * (MAX(Table1[RSXFS]) - MIN(RawData!B:B)) +MIN(Table1[RSXFS])</f>
        <v>197212</v>
      </c>
      <c r="L59" s="15">
        <f>Table3[[#This Row],[Prediction]] * (MAX(Table1[RSXFS]) - MIN(RawData!B:B)) +MIN(Table1[RSXFS])</f>
        <v>200587.47942621401</v>
      </c>
      <c r="M59" s="14"/>
    </row>
    <row r="60" spans="1:13" x14ac:dyDescent="0.25">
      <c r="A60">
        <f>NormData!A66</f>
        <v>0.15716822731675814</v>
      </c>
      <c r="B60">
        <f>NormData!B60</f>
        <v>0.10706064333824586</v>
      </c>
      <c r="C60">
        <f>NormData!B61</f>
        <v>0.10799036982002282</v>
      </c>
      <c r="D60">
        <f>NormData!B62</f>
        <v>0.1123121769809467</v>
      </c>
      <c r="E60">
        <f>NormData!B63</f>
        <v>0.11524345436017361</v>
      </c>
      <c r="F60">
        <f>NormData!B64</f>
        <v>0.11820924123763241</v>
      </c>
      <c r="G60">
        <f>NormData!B65</f>
        <v>0.11183513391715284</v>
      </c>
      <c r="H60" s="14">
        <f>NormData!B66</f>
        <v>0.11127689203398983</v>
      </c>
      <c r="I60" s="24">
        <v>0.11640460066218501</v>
      </c>
      <c r="J60" s="22">
        <v>35370</v>
      </c>
      <c r="K60" s="16">
        <f>Table3[[#This Row],[TgtAmount]] * (MAX(Table1[RSXFS]) - MIN(RawData!B:B)) +MIN(Table1[RSXFS])</f>
        <v>196937</v>
      </c>
      <c r="L60" s="15">
        <f>Table3[[#This Row],[Prediction]] * (MAX(Table1[RSXFS]) - MIN(RawData!B:B)) +MIN(Table1[RSXFS])</f>
        <v>199463.00156900426</v>
      </c>
      <c r="M60" s="14"/>
    </row>
    <row r="61" spans="1:13" x14ac:dyDescent="0.25">
      <c r="A61">
        <f>NormData!A67</f>
        <v>0.15967064901517597</v>
      </c>
      <c r="B61">
        <f>NormData!B61</f>
        <v>0.10799036982002282</v>
      </c>
      <c r="C61">
        <f>NormData!B62</f>
        <v>0.1123121769809467</v>
      </c>
      <c r="D61">
        <f>NormData!B63</f>
        <v>0.11524345436017361</v>
      </c>
      <c r="E61">
        <f>NormData!B64</f>
        <v>0.11820924123763241</v>
      </c>
      <c r="F61">
        <f>NormData!B65</f>
        <v>0.11183513391715284</v>
      </c>
      <c r="G61">
        <f>NormData!B66</f>
        <v>0.11127689203398983</v>
      </c>
      <c r="H61" s="14">
        <f>NormData!B67</f>
        <v>0.11609604196354985</v>
      </c>
      <c r="I61" s="24">
        <v>0.11504627236827517</v>
      </c>
      <c r="J61" s="22">
        <v>35400</v>
      </c>
      <c r="K61" s="16">
        <f>Table3[[#This Row],[TgtAmount]] * (MAX(Table1[RSXFS]) - MIN(RawData!B:B)) +MIN(Table1[RSXFS])</f>
        <v>199311</v>
      </c>
      <c r="L61" s="15">
        <f>Table3[[#This Row],[Prediction]] * (MAX(Table1[RSXFS]) - MIN(RawData!B:B)) +MIN(Table1[RSXFS])</f>
        <v>198793.86460151497</v>
      </c>
      <c r="M61" s="14"/>
    </row>
    <row r="62" spans="1:13" x14ac:dyDescent="0.25">
      <c r="A62">
        <f>NormData!A68</f>
        <v>0.16209234743299969</v>
      </c>
      <c r="B62">
        <f>NormData!B62</f>
        <v>0.1123121769809467</v>
      </c>
      <c r="C62">
        <f>NormData!B63</f>
        <v>0.11524345436017361</v>
      </c>
      <c r="D62">
        <f>NormData!B64</f>
        <v>0.11820924123763241</v>
      </c>
      <c r="E62">
        <f>NormData!B65</f>
        <v>0.11183513391715284</v>
      </c>
      <c r="F62">
        <f>NormData!B66</f>
        <v>0.11127689203398983</v>
      </c>
      <c r="G62">
        <f>NormData!B67</f>
        <v>0.11609604196354985</v>
      </c>
      <c r="H62" s="14">
        <f>NormData!B68</f>
        <v>0.12104916994506899</v>
      </c>
      <c r="I62" s="24">
        <v>0.11574209408609619</v>
      </c>
      <c r="J62" s="22">
        <v>35431</v>
      </c>
      <c r="K62" s="16">
        <f>Table3[[#This Row],[TgtAmount]] * (MAX(Table1[RSXFS]) - MIN(RawData!B:B)) +MIN(Table1[RSXFS])</f>
        <v>201751</v>
      </c>
      <c r="L62" s="15">
        <f>Table3[[#This Row],[Prediction]] * (MAX(Table1[RSXFS]) - MIN(RawData!B:B)) +MIN(Table1[RSXFS])</f>
        <v>199136.63890450454</v>
      </c>
      <c r="M62" s="14"/>
    </row>
    <row r="63" spans="1:13" x14ac:dyDescent="0.25">
      <c r="A63">
        <f>NormData!A69</f>
        <v>0.16459476913141749</v>
      </c>
      <c r="B63">
        <f>NormData!B63</f>
        <v>0.11524345436017361</v>
      </c>
      <c r="C63">
        <f>NormData!B64</f>
        <v>0.11820924123763241</v>
      </c>
      <c r="D63">
        <f>NormData!B65</f>
        <v>0.11183513391715284</v>
      </c>
      <c r="E63">
        <f>NormData!B66</f>
        <v>0.11127689203398983</v>
      </c>
      <c r="F63">
        <f>NormData!B67</f>
        <v>0.11609604196354985</v>
      </c>
      <c r="G63">
        <f>NormData!B68</f>
        <v>0.12104916994506899</v>
      </c>
      <c r="H63" s="14">
        <f>NormData!B69</f>
        <v>0.1213353957833453</v>
      </c>
      <c r="I63" s="24">
        <v>0.11837237247803452</v>
      </c>
      <c r="J63" s="22">
        <v>35462</v>
      </c>
      <c r="K63" s="16">
        <f>Table3[[#This Row],[TgtAmount]] * (MAX(Table1[RSXFS]) - MIN(RawData!B:B)) +MIN(Table1[RSXFS])</f>
        <v>201892</v>
      </c>
      <c r="L63" s="15">
        <f>Table3[[#This Row],[Prediction]] * (MAX(Table1[RSXFS]) - MIN(RawData!B:B)) +MIN(Table1[RSXFS])</f>
        <v>200432.3613853844</v>
      </c>
      <c r="M63" s="14"/>
    </row>
    <row r="64" spans="1:13" x14ac:dyDescent="0.25">
      <c r="A64">
        <f>NormData!A70</f>
        <v>0.16709719082983532</v>
      </c>
      <c r="B64">
        <f>NormData!B64</f>
        <v>0.11820924123763241</v>
      </c>
      <c r="C64">
        <f>NormData!B65</f>
        <v>0.11183513391715284</v>
      </c>
      <c r="D64">
        <f>NormData!B66</f>
        <v>0.11127689203398983</v>
      </c>
      <c r="E64">
        <f>NormData!B67</f>
        <v>0.11609604196354985</v>
      </c>
      <c r="F64">
        <f>NormData!B68</f>
        <v>0.12104916994506899</v>
      </c>
      <c r="G64">
        <f>NormData!B69</f>
        <v>0.1213353957833453</v>
      </c>
      <c r="H64" s="14">
        <f>NormData!B70</f>
        <v>0.12356836331599738</v>
      </c>
      <c r="I64" s="24">
        <v>0.11959173405138616</v>
      </c>
      <c r="J64" s="22">
        <v>35490</v>
      </c>
      <c r="K64" s="16">
        <f>Table3[[#This Row],[TgtAmount]] * (MAX(Table1[RSXFS]) - MIN(RawData!B:B)) +MIN(Table1[RSXFS])</f>
        <v>202992</v>
      </c>
      <c r="L64" s="15">
        <f>Table3[[#This Row],[Prediction]] * (MAX(Table1[RSXFS]) - MIN(RawData!B:B)) +MIN(Table1[RSXFS])</f>
        <v>201033.04084492574</v>
      </c>
      <c r="M64" s="14"/>
    </row>
    <row r="65" spans="1:13" x14ac:dyDescent="0.25">
      <c r="A65">
        <f>NormData!A71</f>
        <v>0.16951888924765904</v>
      </c>
      <c r="B65">
        <f>NormData!B65</f>
        <v>0.11183513391715284</v>
      </c>
      <c r="C65">
        <f>NormData!B66</f>
        <v>0.11127689203398983</v>
      </c>
      <c r="D65">
        <f>NormData!B67</f>
        <v>0.11609604196354985</v>
      </c>
      <c r="E65">
        <f>NormData!B68</f>
        <v>0.12104916994506899</v>
      </c>
      <c r="F65">
        <f>NormData!B69</f>
        <v>0.1213353957833453</v>
      </c>
      <c r="G65">
        <f>NormData!B70</f>
        <v>0.12356836331599738</v>
      </c>
      <c r="H65" s="14">
        <f>NormData!B71</f>
        <v>0.12369625145650383</v>
      </c>
      <c r="I65" s="24">
        <v>0.12286438976561564</v>
      </c>
      <c r="J65" s="22">
        <v>35521</v>
      </c>
      <c r="K65" s="16">
        <f>Table3[[#This Row],[TgtAmount]] * (MAX(Table1[RSXFS]) - MIN(RawData!B:B)) +MIN(Table1[RSXFS])</f>
        <v>203055</v>
      </c>
      <c r="L65" s="15">
        <f>Table3[[#This Row],[Prediction]] * (MAX(Table1[RSXFS]) - MIN(RawData!B:B)) +MIN(Table1[RSXFS])</f>
        <v>202645.20995755805</v>
      </c>
      <c r="M65" s="14"/>
    </row>
    <row r="66" spans="1:13" x14ac:dyDescent="0.25">
      <c r="A66">
        <f>NormData!A72</f>
        <v>0.17202131094607684</v>
      </c>
      <c r="B66">
        <f>NormData!B66</f>
        <v>0.11127689203398983</v>
      </c>
      <c r="C66">
        <f>NormData!B67</f>
        <v>0.11609604196354985</v>
      </c>
      <c r="D66">
        <f>NormData!B68</f>
        <v>0.12104916994506899</v>
      </c>
      <c r="E66">
        <f>NormData!B69</f>
        <v>0.1213353957833453</v>
      </c>
      <c r="F66">
        <f>NormData!B70</f>
        <v>0.12356836331599738</v>
      </c>
      <c r="G66">
        <f>NormData!B71</f>
        <v>0.12369625145650383</v>
      </c>
      <c r="H66" s="14">
        <f>NormData!B72</f>
        <v>0.12313394963237234</v>
      </c>
      <c r="I66" s="24">
        <v>0.12403262239842881</v>
      </c>
      <c r="J66" s="22">
        <v>35551</v>
      </c>
      <c r="K66" s="16">
        <f>Table3[[#This Row],[TgtAmount]] * (MAX(Table1[RSXFS]) - MIN(RawData!B:B)) +MIN(Table1[RSXFS])</f>
        <v>202778</v>
      </c>
      <c r="L66" s="15">
        <f>Table3[[#This Row],[Prediction]] * (MAX(Table1[RSXFS]) - MIN(RawData!B:B)) +MIN(Table1[RSXFS])</f>
        <v>203220.70238066919</v>
      </c>
      <c r="M66" s="14"/>
    </row>
    <row r="67" spans="1:13" x14ac:dyDescent="0.25">
      <c r="A67">
        <f>NormData!A73</f>
        <v>0.17444300936390056</v>
      </c>
      <c r="B67">
        <f>NormData!B67</f>
        <v>0.11609604196354985</v>
      </c>
      <c r="C67">
        <f>NormData!B68</f>
        <v>0.12104916994506899</v>
      </c>
      <c r="D67">
        <f>NormData!B69</f>
        <v>0.1213353957833453</v>
      </c>
      <c r="E67">
        <f>NormData!B70</f>
        <v>0.12356836331599738</v>
      </c>
      <c r="F67">
        <f>NormData!B71</f>
        <v>0.12369625145650383</v>
      </c>
      <c r="G67">
        <f>NormData!B72</f>
        <v>0.12313394963237234</v>
      </c>
      <c r="H67" s="14">
        <f>NormData!B73</f>
        <v>0.12528368837517104</v>
      </c>
      <c r="I67" s="24">
        <v>0.12355976669634482</v>
      </c>
      <c r="J67" s="22">
        <v>35582</v>
      </c>
      <c r="K67" s="16">
        <f>Table3[[#This Row],[TgtAmount]] * (MAX(Table1[RSXFS]) - MIN(RawData!B:B)) +MIN(Table1[RSXFS])</f>
        <v>203837</v>
      </c>
      <c r="L67" s="15">
        <f>Table3[[#This Row],[Prediction]] * (MAX(Table1[RSXFS]) - MIN(RawData!B:B)) +MIN(Table1[RSXFS])</f>
        <v>202987.76515041999</v>
      </c>
      <c r="M67" s="14"/>
    </row>
    <row r="68" spans="1:13" x14ac:dyDescent="0.25">
      <c r="A68">
        <f>NormData!A74</f>
        <v>0.17694543106231836</v>
      </c>
      <c r="B68">
        <f>NormData!B68</f>
        <v>0.12104916994506899</v>
      </c>
      <c r="C68">
        <f>NormData!B69</f>
        <v>0.1213353957833453</v>
      </c>
      <c r="D68">
        <f>NormData!B70</f>
        <v>0.12356836331599738</v>
      </c>
      <c r="E68">
        <f>NormData!B71</f>
        <v>0.12369625145650383</v>
      </c>
      <c r="F68">
        <f>NormData!B72</f>
        <v>0.12313394963237234</v>
      </c>
      <c r="G68">
        <f>NormData!B73</f>
        <v>0.12528368837517104</v>
      </c>
      <c r="H68" s="14">
        <f>NormData!B74</f>
        <v>0.12663970865863611</v>
      </c>
      <c r="I68" s="24">
        <v>0.12388380262709833</v>
      </c>
      <c r="J68" s="22">
        <v>35612</v>
      </c>
      <c r="K68" s="16">
        <f>Table3[[#This Row],[TgtAmount]] * (MAX(Table1[RSXFS]) - MIN(RawData!B:B)) +MIN(Table1[RSXFS])</f>
        <v>204505</v>
      </c>
      <c r="L68" s="15">
        <f>Table3[[#This Row],[Prediction]] * (MAX(Table1[RSXFS]) - MIN(RawData!B:B)) +MIN(Table1[RSXFS])</f>
        <v>203147.39108255593</v>
      </c>
      <c r="M68" s="14"/>
    </row>
    <row r="69" spans="1:13" x14ac:dyDescent="0.25">
      <c r="A69">
        <f>NormData!A75</f>
        <v>0.17944785276073619</v>
      </c>
      <c r="B69">
        <f>NormData!B69</f>
        <v>0.1213353957833453</v>
      </c>
      <c r="C69">
        <f>NormData!B70</f>
        <v>0.12356836331599738</v>
      </c>
      <c r="D69">
        <f>NormData!B71</f>
        <v>0.12369625145650383</v>
      </c>
      <c r="E69">
        <f>NormData!B72</f>
        <v>0.12313394963237234</v>
      </c>
      <c r="F69">
        <f>NormData!B73</f>
        <v>0.12528368837517104</v>
      </c>
      <c r="G69">
        <f>NormData!B74</f>
        <v>0.12663970865863611</v>
      </c>
      <c r="H69" s="14">
        <f>NormData!B75</f>
        <v>0.12603477745433581</v>
      </c>
      <c r="I69" s="24">
        <v>0.12459640439180866</v>
      </c>
      <c r="J69" s="22">
        <v>35643</v>
      </c>
      <c r="K69" s="16">
        <f>Table3[[#This Row],[TgtAmount]] * (MAX(Table1[RSXFS]) - MIN(RawData!B:B)) +MIN(Table1[RSXFS])</f>
        <v>204207</v>
      </c>
      <c r="L69" s="15">
        <f>Table3[[#This Row],[Prediction]] * (MAX(Table1[RSXFS]) - MIN(RawData!B:B)) +MIN(Table1[RSXFS])</f>
        <v>203498.431538684</v>
      </c>
      <c r="M69" s="14"/>
    </row>
    <row r="70" spans="1:13" x14ac:dyDescent="0.25">
      <c r="A70">
        <f>NormData!A76</f>
        <v>0.18170810461737166</v>
      </c>
      <c r="B70">
        <f>NormData!B70</f>
        <v>0.12356836331599738</v>
      </c>
      <c r="C70">
        <f>NormData!B71</f>
        <v>0.12369625145650383</v>
      </c>
      <c r="D70">
        <f>NormData!B72</f>
        <v>0.12313394963237234</v>
      </c>
      <c r="E70">
        <f>NormData!B73</f>
        <v>0.12528368837517104</v>
      </c>
      <c r="F70">
        <f>NormData!B74</f>
        <v>0.12663970865863611</v>
      </c>
      <c r="G70">
        <f>NormData!B75</f>
        <v>0.12603477745433581</v>
      </c>
      <c r="H70" s="14">
        <f>NormData!B76</f>
        <v>0.12827586486892481</v>
      </c>
      <c r="I70" s="24">
        <v>0.12417530252497629</v>
      </c>
      <c r="J70" s="22">
        <v>35674</v>
      </c>
      <c r="K70" s="16">
        <f>Table3[[#This Row],[TgtAmount]] * (MAX(Table1[RSXFS]) - MIN(RawData!B:B)) +MIN(Table1[RSXFS])</f>
        <v>205311</v>
      </c>
      <c r="L70" s="15">
        <f>Table3[[#This Row],[Prediction]] * (MAX(Table1[RSXFS]) - MIN(RawData!B:B)) +MIN(Table1[RSXFS])</f>
        <v>203290.98917924878</v>
      </c>
      <c r="M70" s="14"/>
    </row>
    <row r="71" spans="1:13" x14ac:dyDescent="0.25">
      <c r="A71">
        <f>NormData!A77</f>
        <v>0.18421052631578946</v>
      </c>
      <c r="B71">
        <f>NormData!B71</f>
        <v>0.12369625145650383</v>
      </c>
      <c r="C71">
        <f>NormData!B72</f>
        <v>0.12313394963237234</v>
      </c>
      <c r="D71">
        <f>NormData!B73</f>
        <v>0.12528368837517104</v>
      </c>
      <c r="E71">
        <f>NormData!B74</f>
        <v>0.12663970865863611</v>
      </c>
      <c r="F71">
        <f>NormData!B75</f>
        <v>0.12603477745433581</v>
      </c>
      <c r="G71">
        <f>NormData!B76</f>
        <v>0.12827586486892481</v>
      </c>
      <c r="H71" s="14">
        <f>NormData!B77</f>
        <v>0.13512092534174552</v>
      </c>
      <c r="I71" s="24">
        <v>0.12525190287770288</v>
      </c>
      <c r="J71" s="22">
        <v>35704</v>
      </c>
      <c r="K71" s="16">
        <f>Table3[[#This Row],[TgtAmount]] * (MAX(Table1[RSXFS]) - MIN(RawData!B:B)) +MIN(Table1[RSXFS])</f>
        <v>208683</v>
      </c>
      <c r="L71" s="15">
        <f>Table3[[#This Row],[Prediction]] * (MAX(Table1[RSXFS]) - MIN(RawData!B:B)) +MIN(Table1[RSXFS])</f>
        <v>203821.34189180823</v>
      </c>
      <c r="M71" s="14"/>
    </row>
    <row r="72" spans="1:13" x14ac:dyDescent="0.25">
      <c r="A72">
        <f>NormData!A78</f>
        <v>0.18663222473361318</v>
      </c>
      <c r="B72">
        <f>NormData!B72</f>
        <v>0.12313394963237234</v>
      </c>
      <c r="C72">
        <f>NormData!B73</f>
        <v>0.12528368837517104</v>
      </c>
      <c r="D72">
        <f>NormData!B74</f>
        <v>0.12663970865863611</v>
      </c>
      <c r="E72">
        <f>NormData!B75</f>
        <v>0.12603477745433581</v>
      </c>
      <c r="F72">
        <f>NormData!B76</f>
        <v>0.12827586486892481</v>
      </c>
      <c r="G72">
        <f>NormData!B77</f>
        <v>0.13512092534174552</v>
      </c>
      <c r="H72" s="14">
        <f>NormData!B78</f>
        <v>0.13609937111514397</v>
      </c>
      <c r="I72" s="24">
        <v>0.1298592992073842</v>
      </c>
      <c r="J72" s="22">
        <v>35735</v>
      </c>
      <c r="K72" s="16">
        <f>Table3[[#This Row],[TgtAmount]] * (MAX(Table1[RSXFS]) - MIN(RawData!B:B)) +MIN(Table1[RSXFS])</f>
        <v>209165</v>
      </c>
      <c r="L72" s="15">
        <f>Table3[[#This Row],[Prediction]] * (MAX(Table1[RSXFS]) - MIN(RawData!B:B)) +MIN(Table1[RSXFS])</f>
        <v>206091.02825694319</v>
      </c>
      <c r="M72" s="14"/>
    </row>
    <row r="73" spans="1:13" x14ac:dyDescent="0.25">
      <c r="A73">
        <f>NormData!A79</f>
        <v>0.18913464643203098</v>
      </c>
      <c r="B73">
        <f>NormData!B73</f>
        <v>0.12528368837517104</v>
      </c>
      <c r="C73">
        <f>NormData!B74</f>
        <v>0.12663970865863611</v>
      </c>
      <c r="D73">
        <f>NormData!B75</f>
        <v>0.12603477745433581</v>
      </c>
      <c r="E73">
        <f>NormData!B76</f>
        <v>0.12827586486892481</v>
      </c>
      <c r="F73">
        <f>NormData!B77</f>
        <v>0.13512092534174552</v>
      </c>
      <c r="G73">
        <f>NormData!B78</f>
        <v>0.13609937111514397</v>
      </c>
      <c r="H73" s="14">
        <f>NormData!B79</f>
        <v>0.14027502040120338</v>
      </c>
      <c r="I73" s="24">
        <v>0.13212886684237765</v>
      </c>
      <c r="J73" s="22">
        <v>35765</v>
      </c>
      <c r="K73" s="16">
        <f>Table3[[#This Row],[TgtAmount]] * (MAX(Table1[RSXFS]) - MIN(RawData!B:B)) +MIN(Table1[RSXFS])</f>
        <v>211222</v>
      </c>
      <c r="L73" s="15">
        <f>Table3[[#This Row],[Prediction]] * (MAX(Table1[RSXFS]) - MIN(RawData!B:B)) +MIN(Table1[RSXFS])</f>
        <v>207209.0581261584</v>
      </c>
      <c r="M73" s="14"/>
    </row>
    <row r="74" spans="1:13" x14ac:dyDescent="0.25">
      <c r="A74">
        <f>NormData!A80</f>
        <v>0.1915563448498547</v>
      </c>
      <c r="B74">
        <f>NormData!B74</f>
        <v>0.12663970865863611</v>
      </c>
      <c r="C74">
        <f>NormData!B75</f>
        <v>0.12603477745433581</v>
      </c>
      <c r="D74">
        <f>NormData!B76</f>
        <v>0.12827586486892481</v>
      </c>
      <c r="E74">
        <f>NormData!B77</f>
        <v>0.13512092534174552</v>
      </c>
      <c r="F74">
        <f>NormData!B78</f>
        <v>0.13609937111514397</v>
      </c>
      <c r="G74">
        <f>NormData!B79</f>
        <v>0.14027502040120338</v>
      </c>
      <c r="H74" s="14">
        <f>NormData!B80</f>
        <v>0.13710014656386896</v>
      </c>
      <c r="I74" s="24">
        <v>0.13650614662969818</v>
      </c>
      <c r="J74" s="22">
        <v>35796</v>
      </c>
      <c r="K74" s="16">
        <f>Table3[[#This Row],[TgtAmount]] * (MAX(Table1[RSXFS]) - MIN(RawData!B:B)) +MIN(Table1[RSXFS])</f>
        <v>209658</v>
      </c>
      <c r="L74" s="15">
        <f>Table3[[#This Row],[Prediction]] * (MAX(Table1[RSXFS]) - MIN(RawData!B:B)) +MIN(Table1[RSXFS])</f>
        <v>209365.38494042866</v>
      </c>
      <c r="M74" s="14"/>
    </row>
    <row r="75" spans="1:13" x14ac:dyDescent="0.25">
      <c r="A75">
        <f>NormData!A81</f>
        <v>0.19405876654827253</v>
      </c>
      <c r="B75">
        <f>NormData!B75</f>
        <v>0.12603477745433581</v>
      </c>
      <c r="C75">
        <f>NormData!B76</f>
        <v>0.12827586486892481</v>
      </c>
      <c r="D75">
        <f>NormData!B77</f>
        <v>0.13512092534174552</v>
      </c>
      <c r="E75">
        <f>NormData!B78</f>
        <v>0.13609937111514397</v>
      </c>
      <c r="F75">
        <f>NormData!B79</f>
        <v>0.14027502040120338</v>
      </c>
      <c r="G75">
        <f>NormData!B80</f>
        <v>0.13710014656386896</v>
      </c>
      <c r="H75" s="14">
        <f>NormData!B81</f>
        <v>0.13320057326366475</v>
      </c>
      <c r="I75" s="24">
        <v>0.13619474603809129</v>
      </c>
      <c r="J75" s="22">
        <v>35827</v>
      </c>
      <c r="K75" s="16">
        <f>Table3[[#This Row],[TgtAmount]] * (MAX(Table1[RSXFS]) - MIN(RawData!B:B)) +MIN(Table1[RSXFS])</f>
        <v>207737</v>
      </c>
      <c r="L75" s="15">
        <f>Table3[[#This Row],[Prediction]] * (MAX(Table1[RSXFS]) - MIN(RawData!B:B)) +MIN(Table1[RSXFS])</f>
        <v>209211.98340379246</v>
      </c>
      <c r="M75" s="14"/>
    </row>
    <row r="76" spans="1:13" x14ac:dyDescent="0.25">
      <c r="A76">
        <f>NormData!A82</f>
        <v>0.19656118824669033</v>
      </c>
      <c r="B76">
        <f>NormData!B76</f>
        <v>0.12827586486892481</v>
      </c>
      <c r="C76">
        <f>NormData!B77</f>
        <v>0.13512092534174552</v>
      </c>
      <c r="D76">
        <f>NormData!B78</f>
        <v>0.13609937111514397</v>
      </c>
      <c r="E76">
        <f>NormData!B79</f>
        <v>0.14027502040120338</v>
      </c>
      <c r="F76">
        <f>NormData!B80</f>
        <v>0.13710014656386896</v>
      </c>
      <c r="G76">
        <f>NormData!B81</f>
        <v>0.13320057326366475</v>
      </c>
      <c r="H76" s="14">
        <f>NormData!B82</f>
        <v>0.13802175316370899</v>
      </c>
      <c r="I76" s="24">
        <v>0.13336471887611911</v>
      </c>
      <c r="J76" s="22">
        <v>35855</v>
      </c>
      <c r="K76" s="16">
        <f>Table3[[#This Row],[TgtAmount]] * (MAX(Table1[RSXFS]) - MIN(RawData!B:B)) +MIN(Table1[RSXFS])</f>
        <v>210112</v>
      </c>
      <c r="L76" s="15">
        <f>Table3[[#This Row],[Prediction]] * (MAX(Table1[RSXFS]) - MIN(RawData!B:B)) +MIN(Table1[RSXFS])</f>
        <v>207817.86108331603</v>
      </c>
      <c r="M76" s="14"/>
    </row>
    <row r="77" spans="1:13" x14ac:dyDescent="0.25">
      <c r="A77">
        <f>NormData!A83</f>
        <v>0.19898288666451405</v>
      </c>
      <c r="B77">
        <f>NormData!B77</f>
        <v>0.13512092534174552</v>
      </c>
      <c r="C77">
        <f>NormData!B78</f>
        <v>0.13609937111514397</v>
      </c>
      <c r="D77">
        <f>NormData!B79</f>
        <v>0.14027502040120338</v>
      </c>
      <c r="E77">
        <f>NormData!B80</f>
        <v>0.13710014656386896</v>
      </c>
      <c r="F77">
        <f>NormData!B81</f>
        <v>0.13320057326366475</v>
      </c>
      <c r="G77">
        <f>NormData!B82</f>
        <v>0.13802175316370899</v>
      </c>
      <c r="H77" s="14">
        <f>NormData!B83</f>
        <v>0.14549610448664077</v>
      </c>
      <c r="I77" s="24">
        <v>0.13368497959073461</v>
      </c>
      <c r="J77" s="22">
        <v>35886</v>
      </c>
      <c r="K77" s="16">
        <f>Table3[[#This Row],[TgtAmount]] * (MAX(Table1[RSXFS]) - MIN(RawData!B:B)) +MIN(Table1[RSXFS])</f>
        <v>213794</v>
      </c>
      <c r="L77" s="15">
        <f>Table3[[#This Row],[Prediction]] * (MAX(Table1[RSXFS]) - MIN(RawData!B:B)) +MIN(Table1[RSXFS])</f>
        <v>207975.62727602851</v>
      </c>
      <c r="M77" s="14"/>
    </row>
    <row r="78" spans="1:13" x14ac:dyDescent="0.25">
      <c r="A78">
        <f>NormData!A84</f>
        <v>0.20148530836293188</v>
      </c>
      <c r="B78">
        <f>NormData!B78</f>
        <v>0.13609937111514397</v>
      </c>
      <c r="C78">
        <f>NormData!B79</f>
        <v>0.14027502040120338</v>
      </c>
      <c r="D78">
        <f>NormData!B80</f>
        <v>0.13710014656386896</v>
      </c>
      <c r="E78">
        <f>NormData!B81</f>
        <v>0.13320057326366475</v>
      </c>
      <c r="F78">
        <f>NormData!B82</f>
        <v>0.13802175316370899</v>
      </c>
      <c r="G78">
        <f>NormData!B83</f>
        <v>0.14549610448664077</v>
      </c>
      <c r="H78" s="14">
        <f>NormData!B84</f>
        <v>0.14833806316456158</v>
      </c>
      <c r="I78" s="24">
        <v>0.13809180481584871</v>
      </c>
      <c r="J78" s="22">
        <v>35916</v>
      </c>
      <c r="K78" s="16">
        <f>Table3[[#This Row],[TgtAmount]] * (MAX(Table1[RSXFS]) - MIN(RawData!B:B)) +MIN(Table1[RSXFS])</f>
        <v>215194</v>
      </c>
      <c r="L78" s="15">
        <f>Table3[[#This Row],[Prediction]] * (MAX(Table1[RSXFS]) - MIN(RawData!B:B)) +MIN(Table1[RSXFS])</f>
        <v>210146.50870477376</v>
      </c>
      <c r="M78" s="14"/>
    </row>
    <row r="79" spans="1:13" x14ac:dyDescent="0.25">
      <c r="A79">
        <f>NormData!A85</f>
        <v>0.20390700678075557</v>
      </c>
      <c r="B79">
        <f>NormData!B79</f>
        <v>0.14027502040120338</v>
      </c>
      <c r="C79">
        <f>NormData!B80</f>
        <v>0.13710014656386896</v>
      </c>
      <c r="D79">
        <f>NormData!B81</f>
        <v>0.13320057326366475</v>
      </c>
      <c r="E79">
        <f>NormData!B82</f>
        <v>0.13802175316370899</v>
      </c>
      <c r="F79">
        <f>NormData!B83</f>
        <v>0.14549610448664077</v>
      </c>
      <c r="G79">
        <f>NormData!B84</f>
        <v>0.14833806316456158</v>
      </c>
      <c r="H79" s="14">
        <f>NormData!B85</f>
        <v>0.1528080581708342</v>
      </c>
      <c r="I79" s="24">
        <v>0.14161378442068359</v>
      </c>
      <c r="J79" s="22">
        <v>35947</v>
      </c>
      <c r="K79" s="16">
        <f>Table3[[#This Row],[TgtAmount]] * (MAX(Table1[RSXFS]) - MIN(RawData!B:B)) +MIN(Table1[RSXFS])</f>
        <v>217396</v>
      </c>
      <c r="L79" s="15">
        <f>Table3[[#This Row],[Prediction]] * (MAX(Table1[RSXFS]) - MIN(RawData!B:B)) +MIN(Table1[RSXFS])</f>
        <v>211881.4992537483</v>
      </c>
      <c r="M79" s="14"/>
    </row>
    <row r="80" spans="1:13" x14ac:dyDescent="0.25">
      <c r="A80">
        <f>NormData!A86</f>
        <v>0.2064094284791734</v>
      </c>
      <c r="B80">
        <f>NormData!B80</f>
        <v>0.13710014656386896</v>
      </c>
      <c r="C80">
        <f>NormData!B81</f>
        <v>0.13320057326366475</v>
      </c>
      <c r="D80">
        <f>NormData!B82</f>
        <v>0.13802175316370899</v>
      </c>
      <c r="E80">
        <f>NormData!B83</f>
        <v>0.14549610448664077</v>
      </c>
      <c r="F80">
        <f>NormData!B84</f>
        <v>0.14833806316456158</v>
      </c>
      <c r="G80">
        <f>NormData!B85</f>
        <v>0.1528080581708342</v>
      </c>
      <c r="H80" s="14">
        <f>NormData!B86</f>
        <v>0.15389206240941256</v>
      </c>
      <c r="I80" s="24">
        <v>0.14772692797430528</v>
      </c>
      <c r="J80" s="22">
        <v>35977</v>
      </c>
      <c r="K80" s="16">
        <f>Table3[[#This Row],[TgtAmount]] * (MAX(Table1[RSXFS]) - MIN(RawData!B:B)) +MIN(Table1[RSXFS])</f>
        <v>217930</v>
      </c>
      <c r="L80" s="15">
        <f>Table3[[#This Row],[Prediction]] * (MAX(Table1[RSXFS]) - MIN(RawData!B:B)) +MIN(Table1[RSXFS])</f>
        <v>214892.94380484632</v>
      </c>
      <c r="M80" s="14"/>
    </row>
    <row r="81" spans="1:13" x14ac:dyDescent="0.25">
      <c r="A81">
        <f>NormData!A87</f>
        <v>0.20891185017759123</v>
      </c>
      <c r="B81">
        <f>NormData!B81</f>
        <v>0.13320057326366475</v>
      </c>
      <c r="C81">
        <f>NormData!B82</f>
        <v>0.13802175316370899</v>
      </c>
      <c r="D81">
        <f>NormData!B83</f>
        <v>0.14549610448664077</v>
      </c>
      <c r="E81">
        <f>NormData!B84</f>
        <v>0.14833806316456158</v>
      </c>
      <c r="F81">
        <f>NormData!B85</f>
        <v>0.1528080581708342</v>
      </c>
      <c r="G81">
        <f>NormData!B86</f>
        <v>0.15389206240941256</v>
      </c>
      <c r="H81" s="14">
        <f>NormData!B87</f>
        <v>0.15965514861413915</v>
      </c>
      <c r="I81" s="24">
        <v>0.15179441090199031</v>
      </c>
      <c r="J81" s="22">
        <v>36008</v>
      </c>
      <c r="K81" s="16">
        <f>Table3[[#This Row],[TgtAmount]] * (MAX(Table1[RSXFS]) - MIN(RawData!B:B)) +MIN(Table1[RSXFS])</f>
        <v>220769</v>
      </c>
      <c r="L81" s="15">
        <f>Table3[[#This Row],[Prediction]] * (MAX(Table1[RSXFS]) - MIN(RawData!B:B)) +MIN(Table1[RSXFS])</f>
        <v>216896.65910971665</v>
      </c>
      <c r="M81" s="14"/>
    </row>
    <row r="82" spans="1:13" x14ac:dyDescent="0.25">
      <c r="A82">
        <f>NormData!A88</f>
        <v>0.21117210203422668</v>
      </c>
      <c r="B82">
        <f>NormData!B82</f>
        <v>0.13802175316370899</v>
      </c>
      <c r="C82">
        <f>NormData!B83</f>
        <v>0.14549610448664077</v>
      </c>
      <c r="D82">
        <f>NormData!B84</f>
        <v>0.14833806316456158</v>
      </c>
      <c r="E82">
        <f>NormData!B85</f>
        <v>0.1528080581708342</v>
      </c>
      <c r="F82">
        <f>NormData!B86</f>
        <v>0.15389206240941256</v>
      </c>
      <c r="G82">
        <f>NormData!B87</f>
        <v>0.15965514861413915</v>
      </c>
      <c r="H82" s="14">
        <f>NormData!B88</f>
        <v>0.16255800640658685</v>
      </c>
      <c r="I82" s="24">
        <v>0.15738365778859331</v>
      </c>
      <c r="J82" s="22">
        <v>36039</v>
      </c>
      <c r="K82" s="16">
        <f>Table3[[#This Row],[TgtAmount]] * (MAX(Table1[RSXFS]) - MIN(RawData!B:B)) +MIN(Table1[RSXFS])</f>
        <v>222199</v>
      </c>
      <c r="L82" s="15">
        <f>Table3[[#This Row],[Prediction]] * (MAX(Table1[RSXFS]) - MIN(RawData!B:B)) +MIN(Table1[RSXFS])</f>
        <v>219650.02273250127</v>
      </c>
      <c r="M82" s="14"/>
    </row>
    <row r="83" spans="1:13" x14ac:dyDescent="0.25">
      <c r="A83">
        <f>NormData!A89</f>
        <v>0.21367452373264451</v>
      </c>
      <c r="B83">
        <f>NormData!B83</f>
        <v>0.14549610448664077</v>
      </c>
      <c r="C83">
        <f>NormData!B84</f>
        <v>0.14833806316456158</v>
      </c>
      <c r="D83">
        <f>NormData!B85</f>
        <v>0.1528080581708342</v>
      </c>
      <c r="E83">
        <f>NormData!B86</f>
        <v>0.15389206240941256</v>
      </c>
      <c r="F83">
        <f>NormData!B87</f>
        <v>0.15965514861413915</v>
      </c>
      <c r="G83">
        <f>NormData!B88</f>
        <v>0.16255800640658685</v>
      </c>
      <c r="H83" s="14">
        <f>NormData!B89</f>
        <v>0.16588309805975421</v>
      </c>
      <c r="I83" s="24">
        <v>0.16071319779321339</v>
      </c>
      <c r="J83" s="22">
        <v>36069</v>
      </c>
      <c r="K83" s="16">
        <f>Table3[[#This Row],[TgtAmount]] * (MAX(Table1[RSXFS]) - MIN(RawData!B:B)) +MIN(Table1[RSXFS])</f>
        <v>223837</v>
      </c>
      <c r="L83" s="15">
        <f>Table3[[#This Row],[Prediction]] * (MAX(Table1[RSXFS]) - MIN(RawData!B:B)) +MIN(Table1[RSXFS])</f>
        <v>221290.2140704972</v>
      </c>
      <c r="M83" s="14"/>
    </row>
    <row r="84" spans="1:13" x14ac:dyDescent="0.25">
      <c r="A84">
        <f>NormData!A90</f>
        <v>0.2160962221504682</v>
      </c>
      <c r="B84">
        <f>NormData!B84</f>
        <v>0.14833806316456158</v>
      </c>
      <c r="C84">
        <f>NormData!B85</f>
        <v>0.1528080581708342</v>
      </c>
      <c r="D84">
        <f>NormData!B86</f>
        <v>0.15389206240941256</v>
      </c>
      <c r="E84">
        <f>NormData!B87</f>
        <v>0.15965514861413915</v>
      </c>
      <c r="F84">
        <f>NormData!B88</f>
        <v>0.16255800640658685</v>
      </c>
      <c r="G84">
        <f>NormData!B89</f>
        <v>0.16588309805975421</v>
      </c>
      <c r="H84" s="14">
        <f>NormData!B90</f>
        <v>0.16941524670231295</v>
      </c>
      <c r="I84" s="24">
        <v>0.16520084801852311</v>
      </c>
      <c r="J84" s="22">
        <v>36100</v>
      </c>
      <c r="K84" s="16">
        <f>Table3[[#This Row],[TgtAmount]] * (MAX(Table1[RSXFS]) - MIN(RawData!B:B)) +MIN(Table1[RSXFS])</f>
        <v>225577</v>
      </c>
      <c r="L84" s="15">
        <f>Table3[[#This Row],[Prediction]] * (MAX(Table1[RSXFS]) - MIN(RawData!B:B)) +MIN(Table1[RSXFS])</f>
        <v>223500.91134918883</v>
      </c>
      <c r="M84" s="14"/>
    </row>
    <row r="85" spans="1:13" x14ac:dyDescent="0.25">
      <c r="A85">
        <f>NormData!A91</f>
        <v>0.21859864384888603</v>
      </c>
      <c r="B85">
        <f>NormData!B85</f>
        <v>0.1528080581708342</v>
      </c>
      <c r="C85">
        <f>NormData!B86</f>
        <v>0.15389206240941256</v>
      </c>
      <c r="D85">
        <f>NormData!B87</f>
        <v>0.15965514861413915</v>
      </c>
      <c r="E85">
        <f>NormData!B88</f>
        <v>0.16255800640658685</v>
      </c>
      <c r="F85">
        <f>NormData!B89</f>
        <v>0.16588309805975421</v>
      </c>
      <c r="G85">
        <f>NormData!B90</f>
        <v>0.16941524670231295</v>
      </c>
      <c r="H85" s="14">
        <f>NormData!B91</f>
        <v>0.17123613022666651</v>
      </c>
      <c r="I85" s="24">
        <v>0.1692680735278641</v>
      </c>
      <c r="J85" s="22">
        <v>36130</v>
      </c>
      <c r="K85" s="16">
        <f>Table3[[#This Row],[TgtAmount]] * (MAX(Table1[RSXFS]) - MIN(RawData!B:B)) +MIN(Table1[RSXFS])</f>
        <v>226474</v>
      </c>
      <c r="L85" s="15">
        <f>Table3[[#This Row],[Prediction]] * (MAX(Table1[RSXFS]) - MIN(RawData!B:B)) +MIN(Table1[RSXFS])</f>
        <v>225504.49984514934</v>
      </c>
      <c r="M85" s="14"/>
    </row>
    <row r="86" spans="1:13" x14ac:dyDescent="0.25">
      <c r="A86">
        <f>NormData!A92</f>
        <v>0.22102034226670972</v>
      </c>
      <c r="B86">
        <f>NormData!B86</f>
        <v>0.15389206240941256</v>
      </c>
      <c r="C86">
        <f>NormData!B87</f>
        <v>0.15965514861413915</v>
      </c>
      <c r="D86">
        <f>NormData!B88</f>
        <v>0.16255800640658685</v>
      </c>
      <c r="E86">
        <f>NormData!B89</f>
        <v>0.16588309805975421</v>
      </c>
      <c r="F86">
        <f>NormData!B90</f>
        <v>0.16941524670231295</v>
      </c>
      <c r="G86">
        <f>NormData!B91</f>
        <v>0.17123613022666651</v>
      </c>
      <c r="H86" s="14">
        <f>NormData!B92</f>
        <v>0.17519457267091337</v>
      </c>
      <c r="I86" s="24">
        <v>0.17266366145256787</v>
      </c>
      <c r="J86" s="22">
        <v>36161</v>
      </c>
      <c r="K86" s="16">
        <f>Table3[[#This Row],[TgtAmount]] * (MAX(Table1[RSXFS]) - MIN(RawData!B:B)) +MIN(Table1[RSXFS])</f>
        <v>228424</v>
      </c>
      <c r="L86" s="15">
        <f>Table3[[#This Row],[Prediction]] * (MAX(Table1[RSXFS]) - MIN(RawData!B:B)) +MIN(Table1[RSXFS])</f>
        <v>227177.22757744108</v>
      </c>
      <c r="M86" s="14"/>
    </row>
    <row r="87" spans="1:13" x14ac:dyDescent="0.25">
      <c r="A87">
        <f>NormData!A93</f>
        <v>0.22352276396512755</v>
      </c>
      <c r="B87">
        <f>NormData!B87</f>
        <v>0.15965514861413915</v>
      </c>
      <c r="C87">
        <f>NormData!B88</f>
        <v>0.16255800640658685</v>
      </c>
      <c r="D87">
        <f>NormData!B89</f>
        <v>0.16588309805975421</v>
      </c>
      <c r="E87">
        <f>NormData!B90</f>
        <v>0.16941524670231295</v>
      </c>
      <c r="F87">
        <f>NormData!B91</f>
        <v>0.17123613022666651</v>
      </c>
      <c r="G87">
        <f>NormData!B92</f>
        <v>0.17519457267091337</v>
      </c>
      <c r="H87" s="14">
        <f>NormData!B93</f>
        <v>0.18022483953083321</v>
      </c>
      <c r="I87" s="24">
        <v>0.1763928578865783</v>
      </c>
      <c r="J87" s="22">
        <v>36192</v>
      </c>
      <c r="K87" s="16">
        <f>Table3[[#This Row],[TgtAmount]] * (MAX(Table1[RSXFS]) - MIN(RawData!B:B)) +MIN(Table1[RSXFS])</f>
        <v>230902</v>
      </c>
      <c r="L87" s="15">
        <f>Table3[[#This Row],[Prediction]] * (MAX(Table1[RSXFS]) - MIN(RawData!B:B)) +MIN(Table1[RSXFS])</f>
        <v>229014.29686637042</v>
      </c>
      <c r="M87" s="14"/>
    </row>
    <row r="88" spans="1:13" x14ac:dyDescent="0.25">
      <c r="A88">
        <f>NormData!A94</f>
        <v>0.22602518566354537</v>
      </c>
      <c r="B88">
        <f>NormData!B88</f>
        <v>0.16255800640658685</v>
      </c>
      <c r="C88">
        <f>NormData!B89</f>
        <v>0.16588309805975421</v>
      </c>
      <c r="D88">
        <f>NormData!B90</f>
        <v>0.16941524670231295</v>
      </c>
      <c r="E88">
        <f>NormData!B91</f>
        <v>0.17123613022666651</v>
      </c>
      <c r="F88">
        <f>NormData!B92</f>
        <v>0.17519457267091337</v>
      </c>
      <c r="G88">
        <f>NormData!B93</f>
        <v>0.18022483953083321</v>
      </c>
      <c r="H88" s="14">
        <f>NormData!B94</f>
        <v>0.18227510971990468</v>
      </c>
      <c r="I88" s="24">
        <v>0.18170103248504996</v>
      </c>
      <c r="J88" s="22">
        <v>36220</v>
      </c>
      <c r="K88" s="16">
        <f>Table3[[#This Row],[TgtAmount]] * (MAX(Table1[RSXFS]) - MIN(RawData!B:B)) +MIN(Table1[RSXFS])</f>
        <v>231912</v>
      </c>
      <c r="L88" s="15">
        <f>Table3[[#This Row],[Prediction]] * (MAX(Table1[RSXFS]) - MIN(RawData!B:B)) +MIN(Table1[RSXFS])</f>
        <v>231629.19922072033</v>
      </c>
      <c r="M88" s="14"/>
    </row>
    <row r="89" spans="1:13" x14ac:dyDescent="0.25">
      <c r="A89">
        <f>NormData!A95</f>
        <v>0.22844688408136907</v>
      </c>
      <c r="B89">
        <f>NormData!B89</f>
        <v>0.16588309805975421</v>
      </c>
      <c r="C89">
        <f>NormData!B90</f>
        <v>0.16941524670231295</v>
      </c>
      <c r="D89">
        <f>NormData!B91</f>
        <v>0.17123613022666651</v>
      </c>
      <c r="E89">
        <f>NormData!B92</f>
        <v>0.17519457267091337</v>
      </c>
      <c r="F89">
        <f>NormData!B93</f>
        <v>0.18022483953083321</v>
      </c>
      <c r="G89">
        <f>NormData!B94</f>
        <v>0.18227510971990468</v>
      </c>
      <c r="H89" s="14">
        <f>NormData!B95</f>
        <v>0.18093938914128188</v>
      </c>
      <c r="I89" s="24">
        <v>0.18533435816745428</v>
      </c>
      <c r="J89" s="22">
        <v>36251</v>
      </c>
      <c r="K89" s="16">
        <f>Table3[[#This Row],[TgtAmount]] * (MAX(Table1[RSXFS]) - MIN(RawData!B:B)) +MIN(Table1[RSXFS])</f>
        <v>231254</v>
      </c>
      <c r="L89" s="15">
        <f>Table3[[#This Row],[Prediction]] * (MAX(Table1[RSXFS]) - MIN(RawData!B:B)) +MIN(Table1[RSXFS])</f>
        <v>233419.04085173499</v>
      </c>
      <c r="M89" s="14"/>
    </row>
    <row r="90" spans="1:13" x14ac:dyDescent="0.25">
      <c r="A90">
        <f>NormData!A96</f>
        <v>0.2309493057797869</v>
      </c>
      <c r="B90">
        <f>NormData!B90</f>
        <v>0.16941524670231295</v>
      </c>
      <c r="C90">
        <f>NormData!B91</f>
        <v>0.17123613022666651</v>
      </c>
      <c r="D90">
        <f>NormData!B92</f>
        <v>0.17519457267091337</v>
      </c>
      <c r="E90">
        <f>NormData!B93</f>
        <v>0.18022483953083321</v>
      </c>
      <c r="F90">
        <f>NormData!B94</f>
        <v>0.18227510971990468</v>
      </c>
      <c r="G90">
        <f>NormData!B95</f>
        <v>0.18093938914128188</v>
      </c>
      <c r="H90" s="14">
        <f>NormData!B96</f>
        <v>0.18737642554677256</v>
      </c>
      <c r="I90" s="24">
        <v>0.18555877410449362</v>
      </c>
      <c r="J90" s="22">
        <v>36281</v>
      </c>
      <c r="K90" s="16">
        <f>Table3[[#This Row],[TgtAmount]] * (MAX(Table1[RSXFS]) - MIN(RawData!B:B)) +MIN(Table1[RSXFS])</f>
        <v>234425</v>
      </c>
      <c r="L90" s="15">
        <f>Table3[[#This Row],[Prediction]] * (MAX(Table1[RSXFS]) - MIN(RawData!B:B)) +MIN(Table1[RSXFS])</f>
        <v>233529.59218180744</v>
      </c>
      <c r="M90" s="14"/>
    </row>
    <row r="91" spans="1:13" x14ac:dyDescent="0.25">
      <c r="A91">
        <f>NormData!A97</f>
        <v>0.23337100419761059</v>
      </c>
      <c r="B91">
        <f>NormData!B91</f>
        <v>0.17123613022666651</v>
      </c>
      <c r="C91">
        <f>NormData!B92</f>
        <v>0.17519457267091337</v>
      </c>
      <c r="D91">
        <f>NormData!B93</f>
        <v>0.18022483953083321</v>
      </c>
      <c r="E91">
        <f>NormData!B94</f>
        <v>0.18227510971990468</v>
      </c>
      <c r="F91">
        <f>NormData!B95</f>
        <v>0.18093938914128188</v>
      </c>
      <c r="G91">
        <f>NormData!B96</f>
        <v>0.18737642554677256</v>
      </c>
      <c r="H91" s="14">
        <f>NormData!B97</f>
        <v>0.19785919312733194</v>
      </c>
      <c r="I91" s="24">
        <v>0.19084236024307336</v>
      </c>
      <c r="J91" s="22">
        <v>36312</v>
      </c>
      <c r="K91" s="16">
        <f>Table3[[#This Row],[TgtAmount]] * (MAX(Table1[RSXFS]) - MIN(RawData!B:B)) +MIN(Table1[RSXFS])</f>
        <v>239589</v>
      </c>
      <c r="L91" s="15">
        <f>Table3[[#This Row],[Prediction]] * (MAX(Table1[RSXFS]) - MIN(RawData!B:B)) +MIN(Table1[RSXFS])</f>
        <v>236132.38181822229</v>
      </c>
      <c r="M91" s="14"/>
    </row>
    <row r="92" spans="1:13" x14ac:dyDescent="0.25">
      <c r="A92">
        <f>NormData!A98</f>
        <v>0.23587342589602842</v>
      </c>
      <c r="B92">
        <f>NormData!B92</f>
        <v>0.17519457267091337</v>
      </c>
      <c r="C92">
        <f>NormData!B93</f>
        <v>0.18022483953083321</v>
      </c>
      <c r="D92">
        <f>NormData!B94</f>
        <v>0.18227510971990468</v>
      </c>
      <c r="E92">
        <f>NormData!B95</f>
        <v>0.18093938914128188</v>
      </c>
      <c r="F92">
        <f>NormData!B96</f>
        <v>0.18737642554677256</v>
      </c>
      <c r="G92">
        <f>NormData!B97</f>
        <v>0.19785919312733194</v>
      </c>
      <c r="H92" s="14">
        <f>NormData!B98</f>
        <v>0.1937018135756306</v>
      </c>
      <c r="I92" s="24">
        <v>0.20050383396343421</v>
      </c>
      <c r="J92" s="22">
        <v>36342</v>
      </c>
      <c r="K92" s="16">
        <f>Table3[[#This Row],[TgtAmount]] * (MAX(Table1[RSXFS]) - MIN(RawData!B:B)) +MIN(Table1[RSXFS])</f>
        <v>237541</v>
      </c>
      <c r="L92" s="15">
        <f>Table3[[#This Row],[Prediction]] * (MAX(Table1[RSXFS]) - MIN(RawData!B:B)) +MIN(Table1[RSXFS])</f>
        <v>240891.79767939902</v>
      </c>
      <c r="M92" s="14"/>
    </row>
    <row r="93" spans="1:13" x14ac:dyDescent="0.25">
      <c r="A93">
        <f>NormData!A99</f>
        <v>0.23837584759444624</v>
      </c>
      <c r="B93">
        <f>NormData!B93</f>
        <v>0.18022483953083321</v>
      </c>
      <c r="C93">
        <f>NormData!B94</f>
        <v>0.18227510971990468</v>
      </c>
      <c r="D93">
        <f>NormData!B95</f>
        <v>0.18093938914128188</v>
      </c>
      <c r="E93">
        <f>NormData!B96</f>
        <v>0.18737642554677256</v>
      </c>
      <c r="F93">
        <f>NormData!B97</f>
        <v>0.19785919312733194</v>
      </c>
      <c r="G93">
        <f>NormData!B98</f>
        <v>0.1937018135756306</v>
      </c>
      <c r="H93" s="14">
        <f>NormData!B99</f>
        <v>0.20182169551254725</v>
      </c>
      <c r="I93" s="24">
        <v>0.20047421551348835</v>
      </c>
      <c r="J93" s="22">
        <v>36373</v>
      </c>
      <c r="K93" s="16">
        <f>Table3[[#This Row],[TgtAmount]] * (MAX(Table1[RSXFS]) - MIN(RawData!B:B)) +MIN(Table1[RSXFS])</f>
        <v>241541</v>
      </c>
      <c r="L93" s="15">
        <f>Table3[[#This Row],[Prediction]] * (MAX(Table1[RSXFS]) - MIN(RawData!B:B)) +MIN(Table1[RSXFS])</f>
        <v>240877.20709782362</v>
      </c>
      <c r="M93" s="14"/>
    </row>
    <row r="94" spans="1:13" x14ac:dyDescent="0.25">
      <c r="A94">
        <f>NormData!A100</f>
        <v>0.24071682273167583</v>
      </c>
      <c r="B94">
        <f>NormData!B94</f>
        <v>0.18227510971990468</v>
      </c>
      <c r="C94">
        <f>NormData!B95</f>
        <v>0.18093938914128188</v>
      </c>
      <c r="D94">
        <f>NormData!B96</f>
        <v>0.18737642554677256</v>
      </c>
      <c r="E94">
        <f>NormData!B97</f>
        <v>0.19785919312733194</v>
      </c>
      <c r="F94">
        <f>NormData!B98</f>
        <v>0.1937018135756306</v>
      </c>
      <c r="G94">
        <f>NormData!B99</f>
        <v>0.20182169551254725</v>
      </c>
      <c r="H94" s="14">
        <f>NormData!B100</f>
        <v>0.2078953672013609</v>
      </c>
      <c r="I94" s="24">
        <v>0.20893286252460525</v>
      </c>
      <c r="J94" s="22">
        <v>36404</v>
      </c>
      <c r="K94" s="16">
        <f>Table3[[#This Row],[TgtAmount]] * (MAX(Table1[RSXFS]) - MIN(RawData!B:B)) +MIN(Table1[RSXFS])</f>
        <v>244533</v>
      </c>
      <c r="L94" s="15">
        <f>Table3[[#This Row],[Prediction]] * (MAX(Table1[RSXFS]) - MIN(RawData!B:B)) +MIN(Table1[RSXFS])</f>
        <v>245044.08887114597</v>
      </c>
      <c r="M94" s="14"/>
    </row>
    <row r="95" spans="1:13" x14ac:dyDescent="0.25">
      <c r="A95">
        <f>NormData!A101</f>
        <v>0.24321924443009363</v>
      </c>
      <c r="B95">
        <f>NormData!B95</f>
        <v>0.18093938914128188</v>
      </c>
      <c r="C95">
        <f>NormData!B96</f>
        <v>0.18737642554677256</v>
      </c>
      <c r="D95">
        <f>NormData!B97</f>
        <v>0.19785919312733194</v>
      </c>
      <c r="E95">
        <f>NormData!B98</f>
        <v>0.1937018135756306</v>
      </c>
      <c r="F95">
        <f>NormData!B99</f>
        <v>0.20182169551254725</v>
      </c>
      <c r="G95">
        <f>NormData!B100</f>
        <v>0.2078953672013609</v>
      </c>
      <c r="H95" s="14">
        <f>NormData!B101</f>
        <v>0.19778408421941546</v>
      </c>
      <c r="I95" s="24">
        <v>0.21670188069357568</v>
      </c>
      <c r="J95" s="22">
        <v>36434</v>
      </c>
      <c r="K95" s="16">
        <f>Table3[[#This Row],[TgtAmount]] * (MAX(Table1[RSXFS]) - MIN(RawData!B:B)) +MIN(Table1[RSXFS])</f>
        <v>239552</v>
      </c>
      <c r="L95" s="15">
        <f>Table3[[#This Row],[Prediction]] * (MAX(Table1[RSXFS]) - MIN(RawData!B:B)) +MIN(Table1[RSXFS])</f>
        <v>248871.24706350785</v>
      </c>
      <c r="M95" s="14"/>
    </row>
    <row r="96" spans="1:13" x14ac:dyDescent="0.25">
      <c r="A96">
        <f>NormData!A102</f>
        <v>0.24564094284791735</v>
      </c>
      <c r="B96">
        <f>NormData!B96</f>
        <v>0.18737642554677256</v>
      </c>
      <c r="C96">
        <f>NormData!B97</f>
        <v>0.19785919312733194</v>
      </c>
      <c r="D96">
        <f>NormData!B98</f>
        <v>0.1937018135756306</v>
      </c>
      <c r="E96">
        <f>NormData!B99</f>
        <v>0.20182169551254725</v>
      </c>
      <c r="F96">
        <f>NormData!B100</f>
        <v>0.2078953672013609</v>
      </c>
      <c r="G96">
        <f>NormData!B101</f>
        <v>0.19778408421941546</v>
      </c>
      <c r="H96" s="14">
        <f>NormData!B102</f>
        <v>0.2018318453649684</v>
      </c>
      <c r="I96" s="24">
        <v>0.20995809104549804</v>
      </c>
      <c r="J96" s="22">
        <v>36465</v>
      </c>
      <c r="K96" s="16">
        <f>Table3[[#This Row],[TgtAmount]] * (MAX(Table1[RSXFS]) - MIN(RawData!B:B)) +MIN(Table1[RSXFS])</f>
        <v>241546</v>
      </c>
      <c r="L96" s="15">
        <f>Table3[[#This Row],[Prediction]] * (MAX(Table1[RSXFS]) - MIN(RawData!B:B)) +MIN(Table1[RSXFS])</f>
        <v>245549.13489465116</v>
      </c>
      <c r="M96" s="14"/>
    </row>
    <row r="97" spans="1:13" x14ac:dyDescent="0.25">
      <c r="A97">
        <f>NormData!A103</f>
        <v>0.24814336454633518</v>
      </c>
      <c r="B97">
        <f>NormData!B97</f>
        <v>0.19785919312733194</v>
      </c>
      <c r="C97">
        <f>NormData!B98</f>
        <v>0.1937018135756306</v>
      </c>
      <c r="D97">
        <f>NormData!B99</f>
        <v>0.20182169551254725</v>
      </c>
      <c r="E97">
        <f>NormData!B100</f>
        <v>0.2078953672013609</v>
      </c>
      <c r="F97">
        <f>NormData!B101</f>
        <v>0.19778408421941546</v>
      </c>
      <c r="G97">
        <f>NormData!B102</f>
        <v>0.2018318453649684</v>
      </c>
      <c r="H97" s="14">
        <f>NormData!B103</f>
        <v>0.20524219577847339</v>
      </c>
      <c r="I97" s="24">
        <v>0.20974043090270469</v>
      </c>
      <c r="J97" s="22">
        <v>36495</v>
      </c>
      <c r="K97" s="16">
        <f>Table3[[#This Row],[TgtAmount]] * (MAX(Table1[RSXFS]) - MIN(RawData!B:B)) +MIN(Table1[RSXFS])</f>
        <v>243226</v>
      </c>
      <c r="L97" s="15">
        <f>Table3[[#This Row],[Prediction]] * (MAX(Table1[RSXFS]) - MIN(RawData!B:B)) +MIN(Table1[RSXFS])</f>
        <v>245441.91159042859</v>
      </c>
      <c r="M97" s="14"/>
    </row>
    <row r="98" spans="1:13" x14ac:dyDescent="0.25">
      <c r="A98">
        <f>NormData!A104</f>
        <v>0.25056506296415887</v>
      </c>
      <c r="B98">
        <f>NormData!B98</f>
        <v>0.1937018135756306</v>
      </c>
      <c r="C98">
        <f>NormData!B99</f>
        <v>0.20182169551254725</v>
      </c>
      <c r="D98">
        <f>NormData!B100</f>
        <v>0.2078953672013609</v>
      </c>
      <c r="E98">
        <f>NormData!B101</f>
        <v>0.19778408421941546</v>
      </c>
      <c r="F98">
        <f>NormData!B102</f>
        <v>0.2018318453649684</v>
      </c>
      <c r="G98">
        <f>NormData!B103</f>
        <v>0.20524219577847339</v>
      </c>
      <c r="H98" s="14">
        <f>NormData!B104</f>
        <v>0.20068085210041045</v>
      </c>
      <c r="I98" s="24">
        <v>0.21196006132947592</v>
      </c>
      <c r="J98" s="22">
        <v>36526</v>
      </c>
      <c r="K98" s="16">
        <f>Table3[[#This Row],[TgtAmount]] * (MAX(Table1[RSXFS]) - MIN(RawData!B:B)) +MIN(Table1[RSXFS])</f>
        <v>240979</v>
      </c>
      <c r="L98" s="15">
        <f>Table3[[#This Row],[Prediction]] * (MAX(Table1[RSXFS]) - MIN(RawData!B:B)) +MIN(Table1[RSXFS])</f>
        <v>246535.34149200376</v>
      </c>
      <c r="M98" s="14"/>
    </row>
    <row r="99" spans="1:13" x14ac:dyDescent="0.25">
      <c r="A99">
        <f>NormData!A105</f>
        <v>0.25306748466257667</v>
      </c>
      <c r="B99">
        <f>NormData!B99</f>
        <v>0.20182169551254725</v>
      </c>
      <c r="C99">
        <f>NormData!B100</f>
        <v>0.2078953672013609</v>
      </c>
      <c r="D99">
        <f>NormData!B101</f>
        <v>0.19778408421941546</v>
      </c>
      <c r="E99">
        <f>NormData!B102</f>
        <v>0.2018318453649684</v>
      </c>
      <c r="F99">
        <f>NormData!B103</f>
        <v>0.20524219577847339</v>
      </c>
      <c r="G99">
        <f>NormData!B104</f>
        <v>0.20068085210041045</v>
      </c>
      <c r="H99" s="14">
        <f>NormData!B105</f>
        <v>0.2033989825787933</v>
      </c>
      <c r="I99" s="24">
        <v>0.2068068845714667</v>
      </c>
      <c r="J99" s="22">
        <v>36557</v>
      </c>
      <c r="K99" s="16">
        <f>Table3[[#This Row],[TgtAmount]] * (MAX(Table1[RSXFS]) - MIN(RawData!B:B)) +MIN(Table1[RSXFS])</f>
        <v>242318</v>
      </c>
      <c r="L99" s="15">
        <f>Table3[[#This Row],[Prediction]] * (MAX(Table1[RSXFS]) - MIN(RawData!B:B)) +MIN(Table1[RSXFS])</f>
        <v>243996.79386382678</v>
      </c>
      <c r="M99" s="14"/>
    </row>
    <row r="100" spans="1:13" x14ac:dyDescent="0.25">
      <c r="A100">
        <f>NormData!A106</f>
        <v>0.25556990636099453</v>
      </c>
      <c r="B100">
        <f>NormData!B100</f>
        <v>0.2078953672013609</v>
      </c>
      <c r="C100">
        <f>NormData!B101</f>
        <v>0.19778408421941546</v>
      </c>
      <c r="D100">
        <f>NormData!B102</f>
        <v>0.2018318453649684</v>
      </c>
      <c r="E100">
        <f>NormData!B103</f>
        <v>0.20524219577847339</v>
      </c>
      <c r="F100">
        <f>NormData!B104</f>
        <v>0.20068085210041045</v>
      </c>
      <c r="G100">
        <f>NormData!B105</f>
        <v>0.2033989825787933</v>
      </c>
      <c r="H100" s="14">
        <f>NormData!B106</f>
        <v>0.20989894806929507</v>
      </c>
      <c r="I100" s="24">
        <v>0.20667731845740359</v>
      </c>
      <c r="J100" s="22">
        <v>36586</v>
      </c>
      <c r="K100" s="16">
        <f>Table3[[#This Row],[TgtAmount]] * (MAX(Table1[RSXFS]) - MIN(RawData!B:B)) +MIN(Table1[RSXFS])</f>
        <v>245520</v>
      </c>
      <c r="L100" s="15">
        <f>Table3[[#This Row],[Prediction]] * (MAX(Table1[RSXFS]) - MIN(RawData!B:B)) +MIN(Table1[RSXFS])</f>
        <v>243932.96726384922</v>
      </c>
      <c r="M100" s="14"/>
    </row>
    <row r="101" spans="1:13" x14ac:dyDescent="0.25">
      <c r="A101">
        <f>NormData!A107</f>
        <v>0.25799160477881822</v>
      </c>
      <c r="B101">
        <f>NormData!B101</f>
        <v>0.19778408421941546</v>
      </c>
      <c r="C101">
        <f>NormData!B102</f>
        <v>0.2018318453649684</v>
      </c>
      <c r="D101">
        <f>NormData!B103</f>
        <v>0.20524219577847339</v>
      </c>
      <c r="E101">
        <f>NormData!B104</f>
        <v>0.20068085210041045</v>
      </c>
      <c r="F101">
        <f>NormData!B105</f>
        <v>0.2033989825787933</v>
      </c>
      <c r="G101">
        <f>NormData!B106</f>
        <v>0.20989894806929507</v>
      </c>
      <c r="H101" s="14">
        <f>NormData!B107</f>
        <v>0.20965332164070336</v>
      </c>
      <c r="I101" s="24">
        <v>0.21359105921806451</v>
      </c>
      <c r="J101" s="22">
        <v>36617</v>
      </c>
      <c r="K101" s="16">
        <f>Table3[[#This Row],[TgtAmount]] * (MAX(Table1[RSXFS]) - MIN(RawData!B:B)) +MIN(Table1[RSXFS])</f>
        <v>245399</v>
      </c>
      <c r="L101" s="15">
        <f>Table3[[#This Row],[Prediction]] * (MAX(Table1[RSXFS]) - MIN(RawData!B:B)) +MIN(Table1[RSXFS])</f>
        <v>247338.80040988448</v>
      </c>
      <c r="M101" s="14"/>
    </row>
    <row r="102" spans="1:13" x14ac:dyDescent="0.25">
      <c r="A102">
        <f>NormData!A108</f>
        <v>0.26049402647723602</v>
      </c>
      <c r="B102">
        <f>NormData!B102</f>
        <v>0.2018318453649684</v>
      </c>
      <c r="C102">
        <f>NormData!B103</f>
        <v>0.20524219577847339</v>
      </c>
      <c r="D102">
        <f>NormData!B104</f>
        <v>0.20068085210041045</v>
      </c>
      <c r="E102">
        <f>NormData!B105</f>
        <v>0.2033989825787933</v>
      </c>
      <c r="F102">
        <f>NormData!B106</f>
        <v>0.20989894806929507</v>
      </c>
      <c r="G102">
        <f>NormData!B107</f>
        <v>0.20965332164070336</v>
      </c>
      <c r="H102" s="14">
        <f>NormData!B108</f>
        <v>0.20650077747869547</v>
      </c>
      <c r="I102" s="24">
        <v>0.21416361507784118</v>
      </c>
      <c r="J102" s="22">
        <v>36647</v>
      </c>
      <c r="K102" s="16">
        <f>Table3[[#This Row],[TgtAmount]] * (MAX(Table1[RSXFS]) - MIN(RawData!B:B)) +MIN(Table1[RSXFS])</f>
        <v>243846</v>
      </c>
      <c r="L102" s="15">
        <f>Table3[[#This Row],[Prediction]] * (MAX(Table1[RSXFS]) - MIN(RawData!B:B)) +MIN(Table1[RSXFS])</f>
        <v>247620.85173241596</v>
      </c>
      <c r="M102" s="14"/>
    </row>
    <row r="103" spans="1:13" x14ac:dyDescent="0.25">
      <c r="A103">
        <f>NormData!A109</f>
        <v>0.26291572489505971</v>
      </c>
      <c r="B103">
        <f>NormData!B103</f>
        <v>0.20524219577847339</v>
      </c>
      <c r="C103">
        <f>NormData!B104</f>
        <v>0.20068085210041045</v>
      </c>
      <c r="D103">
        <f>NormData!B105</f>
        <v>0.2033989825787933</v>
      </c>
      <c r="E103">
        <f>NormData!B106</f>
        <v>0.20989894806929507</v>
      </c>
      <c r="F103">
        <f>NormData!B107</f>
        <v>0.20965332164070336</v>
      </c>
      <c r="G103">
        <f>NormData!B108</f>
        <v>0.20650077747869547</v>
      </c>
      <c r="H103" s="14">
        <f>NormData!B109</f>
        <v>0.206496717537727</v>
      </c>
      <c r="I103" s="24">
        <v>0.21182169303561238</v>
      </c>
      <c r="J103" s="22">
        <v>36678</v>
      </c>
      <c r="K103" s="16">
        <f>Table3[[#This Row],[TgtAmount]] * (MAX(Table1[RSXFS]) - MIN(RawData!B:B)) +MIN(Table1[RSXFS])</f>
        <v>243844</v>
      </c>
      <c r="L103" s="15">
        <f>Table3[[#This Row],[Prediction]] * (MAX(Table1[RSXFS]) - MIN(RawData!B:B)) +MIN(Table1[RSXFS])</f>
        <v>246467.1787798173</v>
      </c>
      <c r="M103" s="14"/>
    </row>
    <row r="104" spans="1:13" x14ac:dyDescent="0.25">
      <c r="A104">
        <f>NormData!A110</f>
        <v>0.26541814659347757</v>
      </c>
      <c r="B104">
        <f>NormData!B104</f>
        <v>0.20068085210041045</v>
      </c>
      <c r="C104">
        <f>NormData!B105</f>
        <v>0.2033989825787933</v>
      </c>
      <c r="D104">
        <f>NormData!B106</f>
        <v>0.20989894806929507</v>
      </c>
      <c r="E104">
        <f>NormData!B107</f>
        <v>0.20965332164070336</v>
      </c>
      <c r="F104">
        <f>NormData!B108</f>
        <v>0.20650077747869547</v>
      </c>
      <c r="G104">
        <f>NormData!B109</f>
        <v>0.206496717537727</v>
      </c>
      <c r="H104" s="14">
        <f>NormData!B110</f>
        <v>0.21359146438010793</v>
      </c>
      <c r="I104" s="24">
        <v>0.21162028201012673</v>
      </c>
      <c r="J104" s="22">
        <v>36708</v>
      </c>
      <c r="K104" s="16">
        <f>Table3[[#This Row],[TgtAmount]] * (MAX(Table1[RSXFS]) - MIN(RawData!B:B)) +MIN(Table1[RSXFS])</f>
        <v>247339</v>
      </c>
      <c r="L104" s="15">
        <f>Table3[[#This Row],[Prediction]] * (MAX(Table1[RSXFS]) - MIN(RawData!B:B)) +MIN(Table1[RSXFS])</f>
        <v>246367.96008326462</v>
      </c>
      <c r="M104" s="14"/>
    </row>
    <row r="105" spans="1:13" x14ac:dyDescent="0.25">
      <c r="A105">
        <f>NormData!A111</f>
        <v>0.26792056829189537</v>
      </c>
      <c r="B105">
        <f>NormData!B105</f>
        <v>0.2033989825787933</v>
      </c>
      <c r="C105">
        <f>NormData!B106</f>
        <v>0.20989894806929507</v>
      </c>
      <c r="D105">
        <f>NormData!B107</f>
        <v>0.20965332164070336</v>
      </c>
      <c r="E105">
        <f>NormData!B108</f>
        <v>0.20650077747869547</v>
      </c>
      <c r="F105">
        <f>NormData!B109</f>
        <v>0.206496717537727</v>
      </c>
      <c r="G105">
        <f>NormData!B110</f>
        <v>0.21359146438010793</v>
      </c>
      <c r="H105" s="14">
        <f>NormData!B111</f>
        <v>0.21348996585589647</v>
      </c>
      <c r="I105" s="24">
        <v>0.21569254833379845</v>
      </c>
      <c r="J105" s="22">
        <v>36739</v>
      </c>
      <c r="K105" s="16">
        <f>Table3[[#This Row],[TgtAmount]] * (MAX(Table1[RSXFS]) - MIN(RawData!B:B)) +MIN(Table1[RSXFS])</f>
        <v>247289</v>
      </c>
      <c r="L105" s="15">
        <f>Table3[[#This Row],[Prediction]] * (MAX(Table1[RSXFS]) - MIN(RawData!B:B)) +MIN(Table1[RSXFS])</f>
        <v>248374.03177509911</v>
      </c>
      <c r="M105" s="14"/>
    </row>
    <row r="106" spans="1:13" x14ac:dyDescent="0.25">
      <c r="A106">
        <f>NormData!A112</f>
        <v>0.27018082014853084</v>
      </c>
      <c r="B106">
        <f>NormData!B106</f>
        <v>0.20989894806929507</v>
      </c>
      <c r="C106">
        <f>NormData!B107</f>
        <v>0.20965332164070336</v>
      </c>
      <c r="D106">
        <f>NormData!B108</f>
        <v>0.20650077747869547</v>
      </c>
      <c r="E106">
        <f>NormData!B109</f>
        <v>0.206496717537727</v>
      </c>
      <c r="F106">
        <f>NormData!B110</f>
        <v>0.21359146438010793</v>
      </c>
      <c r="G106">
        <f>NormData!B111</f>
        <v>0.21348996585589647</v>
      </c>
      <c r="H106" s="14">
        <f>NormData!B112</f>
        <v>0.20785679776216054</v>
      </c>
      <c r="I106" s="24">
        <v>0.21535483549598411</v>
      </c>
      <c r="J106" s="22">
        <v>36770</v>
      </c>
      <c r="K106" s="16">
        <f>Table3[[#This Row],[TgtAmount]] * (MAX(Table1[RSXFS]) - MIN(RawData!B:B)) +MIN(Table1[RSXFS])</f>
        <v>244514</v>
      </c>
      <c r="L106" s="15">
        <f>Table3[[#This Row],[Prediction]] * (MAX(Table1[RSXFS]) - MIN(RawData!B:B)) +MIN(Table1[RSXFS])</f>
        <v>248207.66835236072</v>
      </c>
      <c r="M106" s="14"/>
    </row>
    <row r="107" spans="1:13" x14ac:dyDescent="0.25">
      <c r="A107">
        <f>NormData!A113</f>
        <v>0.27268324184694864</v>
      </c>
      <c r="B107">
        <f>NormData!B107</f>
        <v>0.20965332164070336</v>
      </c>
      <c r="C107">
        <f>NormData!B108</f>
        <v>0.20650077747869547</v>
      </c>
      <c r="D107">
        <f>NormData!B109</f>
        <v>0.206496717537727</v>
      </c>
      <c r="E107">
        <f>NormData!B110</f>
        <v>0.21359146438010793</v>
      </c>
      <c r="F107">
        <f>NormData!B111</f>
        <v>0.21348996585589647</v>
      </c>
      <c r="G107">
        <f>NormData!B112</f>
        <v>0.20785679776216054</v>
      </c>
      <c r="H107" s="14">
        <f>NormData!B113</f>
        <v>0.21719263201913044</v>
      </c>
      <c r="I107" s="24">
        <v>0.21158731156558744</v>
      </c>
      <c r="J107" s="22">
        <v>36800</v>
      </c>
      <c r="K107" s="16">
        <f>Table3[[#This Row],[TgtAmount]] * (MAX(Table1[RSXFS]) - MIN(RawData!B:B)) +MIN(Table1[RSXFS])</f>
        <v>249113</v>
      </c>
      <c r="L107" s="15">
        <f>Table3[[#This Row],[Prediction]] * (MAX(Table1[RSXFS]) - MIN(RawData!B:B)) +MIN(Table1[RSXFS])</f>
        <v>246351.71824881656</v>
      </c>
      <c r="M107" s="14"/>
    </row>
    <row r="108" spans="1:13" x14ac:dyDescent="0.25">
      <c r="A108">
        <f>NormData!A114</f>
        <v>0.27510494026477234</v>
      </c>
      <c r="B108">
        <f>NormData!B108</f>
        <v>0.20650077747869547</v>
      </c>
      <c r="C108">
        <f>NormData!B109</f>
        <v>0.206496717537727</v>
      </c>
      <c r="D108">
        <f>NormData!B110</f>
        <v>0.21359146438010793</v>
      </c>
      <c r="E108">
        <f>NormData!B111</f>
        <v>0.21348996585589647</v>
      </c>
      <c r="F108">
        <f>NormData!B112</f>
        <v>0.20785679776216054</v>
      </c>
      <c r="G108">
        <f>NormData!B113</f>
        <v>0.21719263201913044</v>
      </c>
      <c r="H108" s="14">
        <f>NormData!B114</f>
        <v>0.21950070845969899</v>
      </c>
      <c r="I108" s="24">
        <v>0.21856101473956621</v>
      </c>
      <c r="J108" s="22">
        <v>36831</v>
      </c>
      <c r="K108" s="16">
        <f>Table3[[#This Row],[TgtAmount]] * (MAX(Table1[RSXFS]) - MIN(RawData!B:B)) +MIN(Table1[RSXFS])</f>
        <v>250250</v>
      </c>
      <c r="L108" s="15">
        <f>Table3[[#This Row],[Prediction]] * (MAX(Table1[RSXFS]) - MIN(RawData!B:B)) +MIN(Table1[RSXFS])</f>
        <v>249787.08995897562</v>
      </c>
      <c r="M108" s="14"/>
    </row>
    <row r="109" spans="1:13" x14ac:dyDescent="0.25">
      <c r="A109">
        <f>NormData!A115</f>
        <v>0.27760736196319019</v>
      </c>
      <c r="B109">
        <f>NormData!B109</f>
        <v>0.206496717537727</v>
      </c>
      <c r="C109">
        <f>NormData!B110</f>
        <v>0.21359146438010793</v>
      </c>
      <c r="D109">
        <f>NormData!B111</f>
        <v>0.21348996585589647</v>
      </c>
      <c r="E109">
        <f>NormData!B112</f>
        <v>0.20785679776216054</v>
      </c>
      <c r="F109">
        <f>NormData!B113</f>
        <v>0.21719263201913044</v>
      </c>
      <c r="G109">
        <f>NormData!B114</f>
        <v>0.21950070845969899</v>
      </c>
      <c r="H109" s="14">
        <f>NormData!B115</f>
        <v>0.21663033019499897</v>
      </c>
      <c r="I109" s="24">
        <v>0.22123945870149281</v>
      </c>
      <c r="J109" s="22">
        <v>36861</v>
      </c>
      <c r="K109" s="16">
        <f>Table3[[#This Row],[TgtAmount]] * (MAX(Table1[RSXFS]) - MIN(RawData!B:B)) +MIN(Table1[RSXFS])</f>
        <v>248836</v>
      </c>
      <c r="L109" s="15">
        <f>Table3[[#This Row],[Prediction]] * (MAX(Table1[RSXFS]) - MIN(RawData!B:B)) +MIN(Table1[RSXFS])</f>
        <v>251106.53966661199</v>
      </c>
      <c r="M109" s="14"/>
    </row>
    <row r="110" spans="1:13" x14ac:dyDescent="0.25">
      <c r="A110">
        <f>NormData!A116</f>
        <v>0.28002906038101388</v>
      </c>
      <c r="B110">
        <f>NormData!B110</f>
        <v>0.21359146438010793</v>
      </c>
      <c r="C110">
        <f>NormData!B111</f>
        <v>0.21348996585589647</v>
      </c>
      <c r="D110">
        <f>NormData!B112</f>
        <v>0.20785679776216054</v>
      </c>
      <c r="E110">
        <f>NormData!B113</f>
        <v>0.21719263201913044</v>
      </c>
      <c r="F110">
        <f>NormData!B114</f>
        <v>0.21950070845969899</v>
      </c>
      <c r="G110">
        <f>NormData!B115</f>
        <v>0.21663033019499897</v>
      </c>
      <c r="H110" s="14">
        <f>NormData!B116</f>
        <v>0.21358537446865522</v>
      </c>
      <c r="I110" s="24">
        <v>0.21926443258597272</v>
      </c>
      <c r="J110" s="22">
        <v>36892</v>
      </c>
      <c r="K110" s="16">
        <f>Table3[[#This Row],[TgtAmount]] * (MAX(Table1[RSXFS]) - MIN(RawData!B:B)) +MIN(Table1[RSXFS])</f>
        <v>247336</v>
      </c>
      <c r="L110" s="15">
        <f>Table3[[#This Row],[Prediction]] * (MAX(Table1[RSXFS]) - MIN(RawData!B:B)) +MIN(Table1[RSXFS])</f>
        <v>250133.60625163669</v>
      </c>
      <c r="M110" s="14"/>
    </row>
    <row r="111" spans="1:13" x14ac:dyDescent="0.25">
      <c r="A111">
        <f>NormData!A117</f>
        <v>0.28253148207943168</v>
      </c>
      <c r="B111">
        <f>NormData!B111</f>
        <v>0.21348996585589647</v>
      </c>
      <c r="C111">
        <f>NormData!B112</f>
        <v>0.20785679776216054</v>
      </c>
      <c r="D111">
        <f>NormData!B113</f>
        <v>0.21719263201913044</v>
      </c>
      <c r="E111">
        <f>NormData!B114</f>
        <v>0.21950070845969899</v>
      </c>
      <c r="F111">
        <f>NormData!B115</f>
        <v>0.21663033019499897</v>
      </c>
      <c r="G111">
        <f>NormData!B116</f>
        <v>0.21358537446865522</v>
      </c>
      <c r="H111" s="14">
        <f>NormData!B117</f>
        <v>0.21816092794010775</v>
      </c>
      <c r="I111" s="24">
        <v>0.21638862362935732</v>
      </c>
      <c r="J111" s="22">
        <v>36923</v>
      </c>
      <c r="K111" s="16">
        <f>Table3[[#This Row],[TgtAmount]] * (MAX(Table1[RSXFS]) - MIN(RawData!B:B)) +MIN(Table1[RSXFS])</f>
        <v>249590</v>
      </c>
      <c r="L111" s="15">
        <f>Table3[[#This Row],[Prediction]] * (MAX(Table1[RSXFS]) - MIN(RawData!B:B)) +MIN(Table1[RSXFS])</f>
        <v>248716.93099504674</v>
      </c>
      <c r="M111" s="14"/>
    </row>
    <row r="112" spans="1:13" x14ac:dyDescent="0.25">
      <c r="A112">
        <f>NormData!A118</f>
        <v>0.28503390377784954</v>
      </c>
      <c r="B112">
        <f>NormData!B112</f>
        <v>0.20785679776216054</v>
      </c>
      <c r="C112">
        <f>NormData!B113</f>
        <v>0.21719263201913044</v>
      </c>
      <c r="D112">
        <f>NormData!B114</f>
        <v>0.21950070845969899</v>
      </c>
      <c r="E112">
        <f>NormData!B115</f>
        <v>0.21663033019499897</v>
      </c>
      <c r="F112">
        <f>NormData!B116</f>
        <v>0.21358537446865522</v>
      </c>
      <c r="G112">
        <f>NormData!B117</f>
        <v>0.21816092794010775</v>
      </c>
      <c r="H112" s="14">
        <f>NormData!B118</f>
        <v>0.20504731861198738</v>
      </c>
      <c r="I112" s="24">
        <v>0.21952667616489008</v>
      </c>
      <c r="J112" s="22">
        <v>36951</v>
      </c>
      <c r="K112" s="16">
        <f>Table3[[#This Row],[TgtAmount]] * (MAX(Table1[RSXFS]) - MIN(RawData!B:B)) +MIN(Table1[RSXFS])</f>
        <v>243130</v>
      </c>
      <c r="L112" s="15">
        <f>Table3[[#This Row],[Prediction]] * (MAX(Table1[RSXFS]) - MIN(RawData!B:B)) +MIN(Table1[RSXFS])</f>
        <v>250262.79215899581</v>
      </c>
      <c r="M112" s="14"/>
    </row>
    <row r="113" spans="1:13" x14ac:dyDescent="0.25">
      <c r="A113">
        <f>NormData!A119</f>
        <v>0.28745560219567323</v>
      </c>
      <c r="B113">
        <f>NormData!B113</f>
        <v>0.21719263201913044</v>
      </c>
      <c r="C113">
        <f>NormData!B114</f>
        <v>0.21950070845969899</v>
      </c>
      <c r="D113">
        <f>NormData!B115</f>
        <v>0.21663033019499897</v>
      </c>
      <c r="E113">
        <f>NormData!B116</f>
        <v>0.21358537446865522</v>
      </c>
      <c r="F113">
        <f>NormData!B117</f>
        <v>0.21816092794010775</v>
      </c>
      <c r="G113">
        <f>NormData!B118</f>
        <v>0.20504731861198738</v>
      </c>
      <c r="H113" s="14">
        <f>NormData!B119</f>
        <v>0.24510269620679714</v>
      </c>
      <c r="I113" s="24">
        <v>0.20591317159063341</v>
      </c>
      <c r="J113" s="22">
        <v>36982</v>
      </c>
      <c r="K113" s="16">
        <f>Table3[[#This Row],[TgtAmount]] * (MAX(Table1[RSXFS]) - MIN(RawData!B:B)) +MIN(Table1[RSXFS])</f>
        <v>262862</v>
      </c>
      <c r="L113" s="15">
        <f>Table3[[#This Row],[Prediction]] * (MAX(Table1[RSXFS]) - MIN(RawData!B:B)) +MIN(Table1[RSXFS])</f>
        <v>243556.53476263466</v>
      </c>
      <c r="M113" s="14"/>
    </row>
    <row r="114" spans="1:13" x14ac:dyDescent="0.25">
      <c r="A114">
        <f>NormData!A120</f>
        <v>0.28995802389409103</v>
      </c>
      <c r="B114">
        <f>NormData!B114</f>
        <v>0.21950070845969899</v>
      </c>
      <c r="C114">
        <f>NormData!B115</f>
        <v>0.21663033019499897</v>
      </c>
      <c r="D114">
        <f>NormData!B116</f>
        <v>0.21358537446865522</v>
      </c>
      <c r="E114">
        <f>NormData!B117</f>
        <v>0.21816092794010775</v>
      </c>
      <c r="F114">
        <f>NormData!B118</f>
        <v>0.20504731861198738</v>
      </c>
      <c r="G114">
        <f>NormData!B119</f>
        <v>0.24510269620679714</v>
      </c>
      <c r="H114" s="14">
        <f>NormData!B120</f>
        <v>0.22728361529623359</v>
      </c>
      <c r="I114" s="24">
        <v>0.23680712991966871</v>
      </c>
      <c r="J114" s="22">
        <v>37012</v>
      </c>
      <c r="K114" s="16">
        <f>Table3[[#This Row],[TgtAmount]] * (MAX(Table1[RSXFS]) - MIN(RawData!B:B)) +MIN(Table1[RSXFS])</f>
        <v>254084</v>
      </c>
      <c r="L114" s="15">
        <f>Table3[[#This Row],[Prediction]] * (MAX(Table1[RSXFS]) - MIN(RawData!B:B)) +MIN(Table1[RSXFS])</f>
        <v>258775.45472676738</v>
      </c>
      <c r="M114" s="14"/>
    </row>
    <row r="115" spans="1:13" x14ac:dyDescent="0.25">
      <c r="A115">
        <f>NormData!A121</f>
        <v>0.29237972231191478</v>
      </c>
      <c r="B115">
        <f>NormData!B115</f>
        <v>0.21663033019499897</v>
      </c>
      <c r="C115">
        <f>NormData!B116</f>
        <v>0.21358537446865522</v>
      </c>
      <c r="D115">
        <f>NormData!B117</f>
        <v>0.21816092794010775</v>
      </c>
      <c r="E115">
        <f>NormData!B118</f>
        <v>0.20504731861198738</v>
      </c>
      <c r="F115">
        <f>NormData!B119</f>
        <v>0.24510269620679714</v>
      </c>
      <c r="G115">
        <f>NormData!B120</f>
        <v>0.22728361529623359</v>
      </c>
      <c r="H115" s="14">
        <f>NormData!B121</f>
        <v>0.21874758941004999</v>
      </c>
      <c r="I115" s="24">
        <v>0.22937767865739719</v>
      </c>
      <c r="J115" s="22">
        <v>37043</v>
      </c>
      <c r="K115" s="16">
        <f>Table3[[#This Row],[TgtAmount]] * (MAX(Table1[RSXFS]) - MIN(RawData!B:B)) +MIN(Table1[RSXFS])</f>
        <v>249879</v>
      </c>
      <c r="L115" s="15">
        <f>Table3[[#This Row],[Prediction]] * (MAX(Table1[RSXFS]) - MIN(RawData!B:B)) +MIN(Table1[RSXFS])</f>
        <v>255115.57330484968</v>
      </c>
      <c r="M115" s="14"/>
    </row>
    <row r="116" spans="1:13" x14ac:dyDescent="0.25">
      <c r="A116">
        <f>NormData!A122</f>
        <v>0.29488214401033258</v>
      </c>
      <c r="B116">
        <f>NormData!B116</f>
        <v>0.21358537446865522</v>
      </c>
      <c r="C116">
        <f>NormData!B117</f>
        <v>0.21816092794010775</v>
      </c>
      <c r="D116">
        <f>NormData!B118</f>
        <v>0.20504731861198738</v>
      </c>
      <c r="E116">
        <f>NormData!B119</f>
        <v>0.24510269620679714</v>
      </c>
      <c r="F116">
        <f>NormData!B120</f>
        <v>0.22728361529623359</v>
      </c>
      <c r="G116">
        <f>NormData!B121</f>
        <v>0.21874758941004999</v>
      </c>
      <c r="H116" s="14">
        <f>NormData!B122</f>
        <v>0.2202172880406319</v>
      </c>
      <c r="I116" s="24">
        <v>0.22660085241176625</v>
      </c>
      <c r="J116" s="22">
        <v>37073</v>
      </c>
      <c r="K116" s="16">
        <f>Table3[[#This Row],[TgtAmount]] * (MAX(Table1[RSXFS]) - MIN(RawData!B:B)) +MIN(Table1[RSXFS])</f>
        <v>250603</v>
      </c>
      <c r="L116" s="15">
        <f>Table3[[#This Row],[Prediction]] * (MAX(Table1[RSXFS]) - MIN(RawData!B:B)) +MIN(Table1[RSXFS])</f>
        <v>253747.65871337947</v>
      </c>
      <c r="M116" s="14"/>
    </row>
    <row r="117" spans="1:13" x14ac:dyDescent="0.25">
      <c r="A117">
        <f>NormData!A123</f>
        <v>0.29738456570875038</v>
      </c>
      <c r="B117">
        <f>NormData!B117</f>
        <v>0.21816092794010775</v>
      </c>
      <c r="C117">
        <f>NormData!B118</f>
        <v>0.20504731861198738</v>
      </c>
      <c r="D117">
        <f>NormData!B119</f>
        <v>0.24510269620679714</v>
      </c>
      <c r="E117">
        <f>NormData!B120</f>
        <v>0.22728361529623359</v>
      </c>
      <c r="F117">
        <f>NormData!B121</f>
        <v>0.21874758941004999</v>
      </c>
      <c r="G117">
        <f>NormData!B122</f>
        <v>0.2202172880406319</v>
      </c>
      <c r="H117" s="14">
        <f>NormData!B123</f>
        <v>0.22361951857219997</v>
      </c>
      <c r="I117" s="24">
        <v>0.22216148855269538</v>
      </c>
      <c r="J117" s="22">
        <v>37104</v>
      </c>
      <c r="K117" s="16">
        <f>Table3[[#This Row],[TgtAmount]] * (MAX(Table1[RSXFS]) - MIN(RawData!B:B)) +MIN(Table1[RSXFS])</f>
        <v>252279</v>
      </c>
      <c r="L117" s="15">
        <f>Table3[[#This Row],[Prediction]] * (MAX(Table1[RSXFS]) - MIN(RawData!B:B)) +MIN(Table1[RSXFS])</f>
        <v>251560.74816785171</v>
      </c>
      <c r="M117" s="14"/>
    </row>
    <row r="118" spans="1:13" x14ac:dyDescent="0.25">
      <c r="A118">
        <f>NormData!A124</f>
        <v>0.29964481756538586</v>
      </c>
      <c r="B118">
        <f>NormData!B118</f>
        <v>0.20504731861198738</v>
      </c>
      <c r="C118">
        <f>NormData!B119</f>
        <v>0.24510269620679714</v>
      </c>
      <c r="D118">
        <f>NormData!B120</f>
        <v>0.22728361529623359</v>
      </c>
      <c r="E118">
        <f>NormData!B121</f>
        <v>0.21874758941004999</v>
      </c>
      <c r="F118">
        <f>NormData!B122</f>
        <v>0.2202172880406319</v>
      </c>
      <c r="G118">
        <f>NormData!B123</f>
        <v>0.22361951857219997</v>
      </c>
      <c r="H118" s="14">
        <f>NormData!B124</f>
        <v>0.22212343032532306</v>
      </c>
      <c r="I118" s="24">
        <v>0.22456787921261048</v>
      </c>
      <c r="J118" s="22">
        <v>37135</v>
      </c>
      <c r="K118" s="16">
        <f>Table3[[#This Row],[TgtAmount]] * (MAX(Table1[RSXFS]) - MIN(RawData!B:B)) +MIN(Table1[RSXFS])</f>
        <v>251542</v>
      </c>
      <c r="L118" s="15">
        <f>Table3[[#This Row],[Prediction]] * (MAX(Table1[RSXFS]) - MIN(RawData!B:B)) +MIN(Table1[RSXFS])</f>
        <v>252746.17952195776</v>
      </c>
      <c r="M118" s="14"/>
    </row>
    <row r="119" spans="1:13" x14ac:dyDescent="0.25">
      <c r="A119">
        <f>NormData!A125</f>
        <v>0.30214723926380366</v>
      </c>
      <c r="B119">
        <f>NormData!B119</f>
        <v>0.24510269620679714</v>
      </c>
      <c r="C119">
        <f>NormData!B120</f>
        <v>0.22728361529623359</v>
      </c>
      <c r="D119">
        <f>NormData!B121</f>
        <v>0.21874758941004999</v>
      </c>
      <c r="E119">
        <f>NormData!B122</f>
        <v>0.2202172880406319</v>
      </c>
      <c r="F119">
        <f>NormData!B123</f>
        <v>0.22361951857219997</v>
      </c>
      <c r="G119">
        <f>NormData!B124</f>
        <v>0.22212343032532306</v>
      </c>
      <c r="H119" s="14">
        <f>NormData!B125</f>
        <v>0.22821537174849477</v>
      </c>
      <c r="I119" s="24">
        <v>0.2144479445676099</v>
      </c>
      <c r="J119" s="22">
        <v>37165</v>
      </c>
      <c r="K119" s="16">
        <f>Table3[[#This Row],[TgtAmount]] * (MAX(Table1[RSXFS]) - MIN(RawData!B:B)) +MIN(Table1[RSXFS])</f>
        <v>254543</v>
      </c>
      <c r="L119" s="15">
        <f>Table3[[#This Row],[Prediction]] * (MAX(Table1[RSXFS]) - MIN(RawData!B:B)) +MIN(Table1[RSXFS])</f>
        <v>247760.91755700688</v>
      </c>
      <c r="M119" s="14"/>
    </row>
    <row r="120" spans="1:13" x14ac:dyDescent="0.25">
      <c r="A120">
        <f>NormData!A126</f>
        <v>0.30456893768162741</v>
      </c>
      <c r="B120">
        <f>NormData!B120</f>
        <v>0.22728361529623359</v>
      </c>
      <c r="C120">
        <f>NormData!B121</f>
        <v>0.21874758941004999</v>
      </c>
      <c r="D120">
        <f>NormData!B122</f>
        <v>0.2202172880406319</v>
      </c>
      <c r="E120">
        <f>NormData!B123</f>
        <v>0.22361951857219997</v>
      </c>
      <c r="F120">
        <f>NormData!B124</f>
        <v>0.22212343032532306</v>
      </c>
      <c r="G120">
        <f>NormData!B125</f>
        <v>0.22821537174849477</v>
      </c>
      <c r="H120" s="14">
        <f>NormData!B126</f>
        <v>0.22384484529594939</v>
      </c>
      <c r="I120" s="24">
        <v>0.22309315185247772</v>
      </c>
      <c r="J120" s="22">
        <v>37196</v>
      </c>
      <c r="K120" s="16">
        <f>Table3[[#This Row],[TgtAmount]] * (MAX(Table1[RSXFS]) - MIN(RawData!B:B)) +MIN(Table1[RSXFS])</f>
        <v>252390</v>
      </c>
      <c r="L120" s="15">
        <f>Table3[[#This Row],[Prediction]] * (MAX(Table1[RSXFS]) - MIN(RawData!B:B)) +MIN(Table1[RSXFS])</f>
        <v>252019.70227926387</v>
      </c>
      <c r="M120" s="14"/>
    </row>
    <row r="121" spans="1:13" x14ac:dyDescent="0.25">
      <c r="A121">
        <f>NormData!A127</f>
        <v>0.30707135938004521</v>
      </c>
      <c r="B121">
        <f>NormData!B121</f>
        <v>0.21874758941004999</v>
      </c>
      <c r="C121">
        <f>NormData!B122</f>
        <v>0.2202172880406319</v>
      </c>
      <c r="D121">
        <f>NormData!B123</f>
        <v>0.22361951857219997</v>
      </c>
      <c r="E121">
        <f>NormData!B124</f>
        <v>0.22212343032532306</v>
      </c>
      <c r="F121">
        <f>NormData!B125</f>
        <v>0.22821537174849477</v>
      </c>
      <c r="G121">
        <f>NormData!B126</f>
        <v>0.22384484529594939</v>
      </c>
      <c r="H121" s="14">
        <f>NormData!B127</f>
        <v>0.22640666804704659</v>
      </c>
      <c r="I121" s="24">
        <v>0.22203042249479993</v>
      </c>
      <c r="J121" s="22">
        <v>37226</v>
      </c>
      <c r="K121" s="16">
        <f>Table3[[#This Row],[TgtAmount]] * (MAX(Table1[RSXFS]) - MIN(RawData!B:B)) +MIN(Table1[RSXFS])</f>
        <v>253652</v>
      </c>
      <c r="L121" s="15">
        <f>Table3[[#This Row],[Prediction]] * (MAX(Table1[RSXFS]) - MIN(RawData!B:B)) +MIN(Table1[RSXFS])</f>
        <v>251496.18266854336</v>
      </c>
      <c r="M121" s="14"/>
    </row>
    <row r="122" spans="1:13" x14ac:dyDescent="0.25">
      <c r="A122">
        <f>NormData!A128</f>
        <v>0.3094930577978689</v>
      </c>
      <c r="B122">
        <f>NormData!B122</f>
        <v>0.2202172880406319</v>
      </c>
      <c r="C122">
        <f>NormData!B123</f>
        <v>0.22361951857219997</v>
      </c>
      <c r="D122">
        <f>NormData!B124</f>
        <v>0.22212343032532306</v>
      </c>
      <c r="E122">
        <f>NormData!B125</f>
        <v>0.22821537174849477</v>
      </c>
      <c r="F122">
        <f>NormData!B126</f>
        <v>0.22384484529594939</v>
      </c>
      <c r="G122">
        <f>NormData!B127</f>
        <v>0.22640666804704659</v>
      </c>
      <c r="H122" s="14">
        <f>NormData!B128</f>
        <v>0.2338911692223995</v>
      </c>
      <c r="I122" s="24">
        <v>0.22368289508933109</v>
      </c>
      <c r="J122" s="22">
        <v>37257</v>
      </c>
      <c r="K122" s="16">
        <f>Table3[[#This Row],[TgtAmount]] * (MAX(Table1[RSXFS]) - MIN(RawData!B:B)) +MIN(Table1[RSXFS])</f>
        <v>257339</v>
      </c>
      <c r="L122" s="15">
        <f>Table3[[#This Row],[Prediction]] * (MAX(Table1[RSXFS]) - MIN(RawData!B:B)) +MIN(Table1[RSXFS])</f>
        <v>252310.2204131161</v>
      </c>
      <c r="M122" s="14"/>
    </row>
    <row r="123" spans="1:13" x14ac:dyDescent="0.25">
      <c r="A123">
        <f>NormData!A129</f>
        <v>0.31199547949628675</v>
      </c>
      <c r="B123">
        <f>NormData!B123</f>
        <v>0.22361951857219997</v>
      </c>
      <c r="C123">
        <f>NormData!B124</f>
        <v>0.22212343032532306</v>
      </c>
      <c r="D123">
        <f>NormData!B125</f>
        <v>0.22821537174849477</v>
      </c>
      <c r="E123">
        <f>NormData!B126</f>
        <v>0.22384484529594939</v>
      </c>
      <c r="F123">
        <f>NormData!B127</f>
        <v>0.22640666804704659</v>
      </c>
      <c r="G123">
        <f>NormData!B128</f>
        <v>0.2338911692223995</v>
      </c>
      <c r="H123" s="14">
        <f>NormData!B129</f>
        <v>0.23736444872091561</v>
      </c>
      <c r="I123" s="24">
        <v>0.2288981032199798</v>
      </c>
      <c r="J123" s="22">
        <v>37288</v>
      </c>
      <c r="K123" s="16">
        <f>Table3[[#This Row],[TgtAmount]] * (MAX(Table1[RSXFS]) - MIN(RawData!B:B)) +MIN(Table1[RSXFS])</f>
        <v>259050</v>
      </c>
      <c r="L123" s="15">
        <f>Table3[[#This Row],[Prediction]] * (MAX(Table1[RSXFS]) - MIN(RawData!B:B)) +MIN(Table1[RSXFS])</f>
        <v>254879.32581201999</v>
      </c>
      <c r="M123" s="14"/>
    </row>
    <row r="124" spans="1:13" x14ac:dyDescent="0.25">
      <c r="A124">
        <f>NormData!A130</f>
        <v>0.31449790119470455</v>
      </c>
      <c r="B124">
        <f>NormData!B124</f>
        <v>0.22212343032532306</v>
      </c>
      <c r="C124">
        <f>NormData!B125</f>
        <v>0.22821537174849477</v>
      </c>
      <c r="D124">
        <f>NormData!B126</f>
        <v>0.22384484529594939</v>
      </c>
      <c r="E124">
        <f>NormData!B127</f>
        <v>0.22640666804704659</v>
      </c>
      <c r="F124">
        <f>NormData!B128</f>
        <v>0.2338911692223995</v>
      </c>
      <c r="G124">
        <f>NormData!B129</f>
        <v>0.23736444872091561</v>
      </c>
      <c r="H124" s="14">
        <f>NormData!B130</f>
        <v>0.22727752538478091</v>
      </c>
      <c r="I124" s="24">
        <v>0.23420282221577568</v>
      </c>
      <c r="J124" s="22">
        <v>37316</v>
      </c>
      <c r="K124" s="16">
        <f>Table3[[#This Row],[TgtAmount]] * (MAX(Table1[RSXFS]) - MIN(RawData!B:B)) +MIN(Table1[RSXFS])</f>
        <v>254081</v>
      </c>
      <c r="L124" s="15">
        <f>Table3[[#This Row],[Prediction]] * (MAX(Table1[RSXFS]) - MIN(RawData!B:B)) +MIN(Table1[RSXFS])</f>
        <v>257492.52587429096</v>
      </c>
      <c r="M124" s="14"/>
    </row>
    <row r="125" spans="1:13" x14ac:dyDescent="0.25">
      <c r="A125">
        <f>NormData!A131</f>
        <v>0.31691959961252825</v>
      </c>
      <c r="B125">
        <f>NormData!B125</f>
        <v>0.22821537174849477</v>
      </c>
      <c r="C125">
        <f>NormData!B126</f>
        <v>0.22384484529594939</v>
      </c>
      <c r="D125">
        <f>NormData!B127</f>
        <v>0.22640666804704659</v>
      </c>
      <c r="E125">
        <f>NormData!B128</f>
        <v>0.2338911692223995</v>
      </c>
      <c r="F125">
        <f>NormData!B129</f>
        <v>0.23736444872091561</v>
      </c>
      <c r="G125">
        <f>NormData!B130</f>
        <v>0.22727752538478091</v>
      </c>
      <c r="H125" s="14">
        <f>NormData!B131</f>
        <v>0.23143896487745069</v>
      </c>
      <c r="I125" s="24">
        <v>0.2266479960928536</v>
      </c>
      <c r="J125" s="22">
        <v>37347</v>
      </c>
      <c r="K125" s="16">
        <f>Table3[[#This Row],[TgtAmount]] * (MAX(Table1[RSXFS]) - MIN(RawData!B:B)) +MIN(Table1[RSXFS])</f>
        <v>256131</v>
      </c>
      <c r="L125" s="15">
        <f>Table3[[#This Row],[Prediction]] * (MAX(Table1[RSXFS]) - MIN(RawData!B:B)) +MIN(Table1[RSXFS])</f>
        <v>253770.88253926934</v>
      </c>
      <c r="M125" s="14"/>
    </row>
    <row r="126" spans="1:13" x14ac:dyDescent="0.25">
      <c r="A126">
        <f>NormData!A132</f>
        <v>0.3194220213109461</v>
      </c>
      <c r="B126">
        <f>NormData!B126</f>
        <v>0.22384484529594939</v>
      </c>
      <c r="C126">
        <f>NormData!B127</f>
        <v>0.22640666804704659</v>
      </c>
      <c r="D126">
        <f>NormData!B128</f>
        <v>0.2338911692223995</v>
      </c>
      <c r="E126">
        <f>NormData!B129</f>
        <v>0.23736444872091561</v>
      </c>
      <c r="F126">
        <f>NormData!B130</f>
        <v>0.22727752538478091</v>
      </c>
      <c r="G126">
        <f>NormData!B131</f>
        <v>0.23143896487745069</v>
      </c>
      <c r="H126" s="14">
        <f>NormData!B132</f>
        <v>0.23188352841349688</v>
      </c>
      <c r="I126" s="24">
        <v>0.22937148715405112</v>
      </c>
      <c r="J126" s="22">
        <v>37377</v>
      </c>
      <c r="K126" s="16">
        <f>Table3[[#This Row],[TgtAmount]] * (MAX(Table1[RSXFS]) - MIN(RawData!B:B)) +MIN(Table1[RSXFS])</f>
        <v>256350</v>
      </c>
      <c r="L126" s="15">
        <f>Table3[[#This Row],[Prediction]] * (MAX(Table1[RSXFS]) - MIN(RawData!B:B)) +MIN(Table1[RSXFS])</f>
        <v>255112.52325885434</v>
      </c>
      <c r="M126" s="14"/>
    </row>
    <row r="127" spans="1:13" x14ac:dyDescent="0.25">
      <c r="A127">
        <f>NormData!A133</f>
        <v>0.32184371972876979</v>
      </c>
      <c r="B127">
        <f>NormData!B127</f>
        <v>0.22640666804704659</v>
      </c>
      <c r="C127">
        <f>NormData!B128</f>
        <v>0.2338911692223995</v>
      </c>
      <c r="D127">
        <f>NormData!B129</f>
        <v>0.23736444872091561</v>
      </c>
      <c r="E127">
        <f>NormData!B130</f>
        <v>0.22727752538478091</v>
      </c>
      <c r="F127">
        <f>NormData!B131</f>
        <v>0.23143896487745069</v>
      </c>
      <c r="G127">
        <f>NormData!B132</f>
        <v>0.23188352841349688</v>
      </c>
      <c r="H127" s="14">
        <f>NormData!B133</f>
        <v>0.23768112411645534</v>
      </c>
      <c r="I127" s="24">
        <v>0.22752035656448302</v>
      </c>
      <c r="J127" s="22">
        <v>37408</v>
      </c>
      <c r="K127" s="16">
        <f>Table3[[#This Row],[TgtAmount]] * (MAX(Table1[RSXFS]) - MIN(RawData!B:B)) +MIN(Table1[RSXFS])</f>
        <v>259206</v>
      </c>
      <c r="L127" s="15">
        <f>Table3[[#This Row],[Prediction]] * (MAX(Table1[RSXFS]) - MIN(RawData!B:B)) +MIN(Table1[RSXFS])</f>
        <v>254200.62301008249</v>
      </c>
      <c r="M127" s="14"/>
    </row>
    <row r="128" spans="1:13" x14ac:dyDescent="0.25">
      <c r="A128">
        <f>NormData!A134</f>
        <v>0.3243461414271876</v>
      </c>
      <c r="B128">
        <f>NormData!B128</f>
        <v>0.2338911692223995</v>
      </c>
      <c r="C128">
        <f>NormData!B129</f>
        <v>0.23736444872091561</v>
      </c>
      <c r="D128">
        <f>NormData!B130</f>
        <v>0.22727752538478091</v>
      </c>
      <c r="E128">
        <f>NormData!B131</f>
        <v>0.23143896487745069</v>
      </c>
      <c r="F128">
        <f>NormData!B132</f>
        <v>0.23188352841349688</v>
      </c>
      <c r="G128">
        <f>NormData!B133</f>
        <v>0.23768112411645534</v>
      </c>
      <c r="H128" s="14">
        <f>NormData!B134</f>
        <v>0.24212269953594875</v>
      </c>
      <c r="I128" s="24">
        <v>0.23082544431047594</v>
      </c>
      <c r="J128" s="22">
        <v>37438</v>
      </c>
      <c r="K128" s="16">
        <f>Table3[[#This Row],[TgtAmount]] * (MAX(Table1[RSXFS]) - MIN(RawData!B:B)) +MIN(Table1[RSXFS])</f>
        <v>261394</v>
      </c>
      <c r="L128" s="15">
        <f>Table3[[#This Row],[Prediction]] * (MAX(Table1[RSXFS]) - MIN(RawData!B:B)) +MIN(Table1[RSXFS])</f>
        <v>255828.76872533804</v>
      </c>
      <c r="M128" s="14"/>
    </row>
    <row r="129" spans="1:13" x14ac:dyDescent="0.25">
      <c r="A129">
        <f>NormData!A135</f>
        <v>0.32684856312560545</v>
      </c>
      <c r="B129">
        <f>NormData!B129</f>
        <v>0.23736444872091561</v>
      </c>
      <c r="C129">
        <f>NormData!B130</f>
        <v>0.22727752538478091</v>
      </c>
      <c r="D129">
        <f>NormData!B131</f>
        <v>0.23143896487745069</v>
      </c>
      <c r="E129">
        <f>NormData!B132</f>
        <v>0.23188352841349688</v>
      </c>
      <c r="F129">
        <f>NormData!B133</f>
        <v>0.23768112411645534</v>
      </c>
      <c r="G129">
        <f>NormData!B134</f>
        <v>0.24212269953594875</v>
      </c>
      <c r="H129" s="14">
        <f>NormData!B135</f>
        <v>0.2342809235553715</v>
      </c>
      <c r="I129" s="24">
        <v>0.23524880481986132</v>
      </c>
      <c r="J129" s="22">
        <v>37469</v>
      </c>
      <c r="K129" s="16">
        <f>Table3[[#This Row],[TgtAmount]] * (MAX(Table1[RSXFS]) - MIN(RawData!B:B)) +MIN(Table1[RSXFS])</f>
        <v>257531</v>
      </c>
      <c r="L129" s="15">
        <f>Table3[[#This Row],[Prediction]] * (MAX(Table1[RSXFS]) - MIN(RawData!B:B)) +MIN(Table1[RSXFS])</f>
        <v>258007.79573275044</v>
      </c>
      <c r="M129" s="14"/>
    </row>
    <row r="130" spans="1:13" x14ac:dyDescent="0.25">
      <c r="A130">
        <f>NormData!A136</f>
        <v>0.32910881498224087</v>
      </c>
      <c r="B130">
        <f>NormData!B130</f>
        <v>0.22727752538478091</v>
      </c>
      <c r="C130">
        <f>NormData!B131</f>
        <v>0.23143896487745069</v>
      </c>
      <c r="D130">
        <f>NormData!B132</f>
        <v>0.23188352841349688</v>
      </c>
      <c r="E130">
        <f>NormData!B133</f>
        <v>0.23768112411645534</v>
      </c>
      <c r="F130">
        <f>NormData!B134</f>
        <v>0.24212269953594875</v>
      </c>
      <c r="G130">
        <f>NormData!B135</f>
        <v>0.2342809235553715</v>
      </c>
      <c r="H130" s="14">
        <f>NormData!B136</f>
        <v>0.24044188397500701</v>
      </c>
      <c r="I130" s="24">
        <v>0.23284805165445194</v>
      </c>
      <c r="J130" s="22">
        <v>37500</v>
      </c>
      <c r="K130" s="16">
        <f>Table3[[#This Row],[TgtAmount]] * (MAX(Table1[RSXFS]) - MIN(RawData!B:B)) +MIN(Table1[RSXFS])</f>
        <v>260566</v>
      </c>
      <c r="L130" s="15">
        <f>Table3[[#This Row],[Prediction]] * (MAX(Table1[RSXFS]) - MIN(RawData!B:B)) +MIN(Table1[RSXFS])</f>
        <v>256825.14150991279</v>
      </c>
      <c r="M130" s="14"/>
    </row>
    <row r="131" spans="1:13" x14ac:dyDescent="0.25">
      <c r="A131">
        <f>NormData!A137</f>
        <v>0.33161123668065873</v>
      </c>
      <c r="B131">
        <f>NormData!B131</f>
        <v>0.23143896487745069</v>
      </c>
      <c r="C131">
        <f>NormData!B132</f>
        <v>0.23188352841349688</v>
      </c>
      <c r="D131">
        <f>NormData!B133</f>
        <v>0.23768112411645534</v>
      </c>
      <c r="E131">
        <f>NormData!B134</f>
        <v>0.24212269953594875</v>
      </c>
      <c r="F131">
        <f>NormData!B135</f>
        <v>0.2342809235553715</v>
      </c>
      <c r="G131">
        <f>NormData!B136</f>
        <v>0.24044188397500701</v>
      </c>
      <c r="H131" s="14">
        <f>NormData!B137</f>
        <v>0.2420841300967484</v>
      </c>
      <c r="I131" s="24">
        <v>0.23633986456483835</v>
      </c>
      <c r="J131" s="22">
        <v>37530</v>
      </c>
      <c r="K131" s="16">
        <f>Table3[[#This Row],[TgtAmount]] * (MAX(Table1[RSXFS]) - MIN(RawData!B:B)) +MIN(Table1[RSXFS])</f>
        <v>261375</v>
      </c>
      <c r="L131" s="15">
        <f>Table3[[#This Row],[Prediction]] * (MAX(Table1[RSXFS]) - MIN(RawData!B:B)) +MIN(Table1[RSXFS])</f>
        <v>258545.27140220156</v>
      </c>
      <c r="M131" s="14"/>
    </row>
    <row r="132" spans="1:13" x14ac:dyDescent="0.25">
      <c r="A132">
        <f>NormData!A138</f>
        <v>0.33403293509848242</v>
      </c>
      <c r="B132">
        <f>NormData!B132</f>
        <v>0.23188352841349688</v>
      </c>
      <c r="C132">
        <f>NormData!B133</f>
        <v>0.23768112411645534</v>
      </c>
      <c r="D132">
        <f>NormData!B134</f>
        <v>0.24212269953594875</v>
      </c>
      <c r="E132">
        <f>NormData!B135</f>
        <v>0.2342809235553715</v>
      </c>
      <c r="F132">
        <f>NormData!B136</f>
        <v>0.24044188397500701</v>
      </c>
      <c r="G132">
        <f>NormData!B137</f>
        <v>0.2420841300967484</v>
      </c>
      <c r="H132" s="14">
        <f>NormData!B138</f>
        <v>0.24211863959498028</v>
      </c>
      <c r="I132" s="24">
        <v>0.23717993163042872</v>
      </c>
      <c r="J132" s="22">
        <v>37561</v>
      </c>
      <c r="K132" s="16">
        <f>Table3[[#This Row],[TgtAmount]] * (MAX(Table1[RSXFS]) - MIN(RawData!B:B)) +MIN(Table1[RSXFS])</f>
        <v>261392</v>
      </c>
      <c r="L132" s="15">
        <f>Table3[[#This Row],[Prediction]] * (MAX(Table1[RSXFS]) - MIN(RawData!B:B)) +MIN(Table1[RSXFS])</f>
        <v>258959.10355991853</v>
      </c>
      <c r="M132" s="14"/>
    </row>
    <row r="133" spans="1:13" x14ac:dyDescent="0.25">
      <c r="A133">
        <f>NormData!A139</f>
        <v>0.33653535679690022</v>
      </c>
      <c r="B133">
        <f>NormData!B133</f>
        <v>0.23768112411645534</v>
      </c>
      <c r="C133">
        <f>NormData!B134</f>
        <v>0.24212269953594875</v>
      </c>
      <c r="D133">
        <f>NormData!B135</f>
        <v>0.2342809235553715</v>
      </c>
      <c r="E133">
        <f>NormData!B136</f>
        <v>0.24044188397500701</v>
      </c>
      <c r="F133">
        <f>NormData!B137</f>
        <v>0.2420841300967484</v>
      </c>
      <c r="G133">
        <f>NormData!B138</f>
        <v>0.24211863959498028</v>
      </c>
      <c r="H133" s="14">
        <f>NormData!B139</f>
        <v>0.25011469333235897</v>
      </c>
      <c r="I133" s="24">
        <v>0.23693333229423447</v>
      </c>
      <c r="J133" s="22">
        <v>37591</v>
      </c>
      <c r="K133" s="16">
        <f>Table3[[#This Row],[TgtAmount]] * (MAX(Table1[RSXFS]) - MIN(RawData!B:B)) +MIN(Table1[RSXFS])</f>
        <v>265331</v>
      </c>
      <c r="L133" s="15">
        <f>Table3[[#This Row],[Prediction]] * (MAX(Table1[RSXFS]) - MIN(RawData!B:B)) +MIN(Table1[RSXFS])</f>
        <v>258837.62428812118</v>
      </c>
      <c r="M133" s="14"/>
    </row>
    <row r="134" spans="1:13" x14ac:dyDescent="0.25">
      <c r="A134">
        <f>NormData!A140</f>
        <v>0.33895705521472391</v>
      </c>
      <c r="B134">
        <f>NormData!B134</f>
        <v>0.24212269953594875</v>
      </c>
      <c r="C134">
        <f>NormData!B135</f>
        <v>0.2342809235553715</v>
      </c>
      <c r="D134">
        <f>NormData!B136</f>
        <v>0.24044188397500701</v>
      </c>
      <c r="E134">
        <f>NormData!B137</f>
        <v>0.2420841300967484</v>
      </c>
      <c r="F134">
        <f>NormData!B138</f>
        <v>0.24211863959498028</v>
      </c>
      <c r="G134">
        <f>NormData!B139</f>
        <v>0.25011469333235897</v>
      </c>
      <c r="H134" s="14">
        <f>NormData!B140</f>
        <v>0.25488918391126592</v>
      </c>
      <c r="I134" s="24">
        <v>0.24328711177662113</v>
      </c>
      <c r="J134" s="22">
        <v>37622</v>
      </c>
      <c r="K134" s="16">
        <f>Table3[[#This Row],[TgtAmount]] * (MAX(Table1[RSXFS]) - MIN(RawData!B:B)) +MIN(Table1[RSXFS])</f>
        <v>267683</v>
      </c>
      <c r="L134" s="15">
        <f>Table3[[#This Row],[Prediction]] * (MAX(Table1[RSXFS]) - MIN(RawData!B:B)) +MIN(Table1[RSXFS])</f>
        <v>261967.61042917555</v>
      </c>
      <c r="M134" s="14"/>
    </row>
    <row r="135" spans="1:13" x14ac:dyDescent="0.25">
      <c r="A135">
        <f>NormData!A141</f>
        <v>0.34145947691314177</v>
      </c>
      <c r="B135">
        <f>NormData!B135</f>
        <v>0.2342809235553715</v>
      </c>
      <c r="C135">
        <f>NormData!B136</f>
        <v>0.24044188397500701</v>
      </c>
      <c r="D135">
        <f>NormData!B137</f>
        <v>0.2420841300967484</v>
      </c>
      <c r="E135">
        <f>NormData!B138</f>
        <v>0.24211863959498028</v>
      </c>
      <c r="F135">
        <f>NormData!B139</f>
        <v>0.25011469333235897</v>
      </c>
      <c r="G135">
        <f>NormData!B140</f>
        <v>0.25488918391126592</v>
      </c>
      <c r="H135" s="14">
        <f>NormData!B141</f>
        <v>0.26083496745957313</v>
      </c>
      <c r="I135" s="24">
        <v>0.25096973449491694</v>
      </c>
      <c r="J135" s="22">
        <v>37653</v>
      </c>
      <c r="K135" s="16">
        <f>Table3[[#This Row],[TgtAmount]] * (MAX(Table1[RSXFS]) - MIN(RawData!B:B)) +MIN(Table1[RSXFS])</f>
        <v>270612</v>
      </c>
      <c r="L135" s="15">
        <f>Table3[[#This Row],[Prediction]] * (MAX(Table1[RSXFS]) - MIN(RawData!B:B)) +MIN(Table1[RSXFS])</f>
        <v>265752.208667417</v>
      </c>
      <c r="M135" s="14"/>
    </row>
    <row r="136" spans="1:13" x14ac:dyDescent="0.25">
      <c r="A136">
        <f>NormData!A142</f>
        <v>0.34396189861155957</v>
      </c>
      <c r="B136">
        <f>NormData!B136</f>
        <v>0.24044188397500701</v>
      </c>
      <c r="C136">
        <f>NormData!B137</f>
        <v>0.2420841300967484</v>
      </c>
      <c r="D136">
        <f>NormData!B138</f>
        <v>0.24211863959498028</v>
      </c>
      <c r="E136">
        <f>NormData!B139</f>
        <v>0.25011469333235897</v>
      </c>
      <c r="F136">
        <f>NormData!B140</f>
        <v>0.25488918391126592</v>
      </c>
      <c r="G136">
        <f>NormData!B141</f>
        <v>0.26083496745957313</v>
      </c>
      <c r="H136" s="14">
        <f>NormData!B142</f>
        <v>0.26002297926588147</v>
      </c>
      <c r="I136" s="24">
        <v>0.25770351478695641</v>
      </c>
      <c r="J136" s="22">
        <v>37681</v>
      </c>
      <c r="K136" s="16">
        <f>Table3[[#This Row],[TgtAmount]] * (MAX(Table1[RSXFS]) - MIN(RawData!B:B)) +MIN(Table1[RSXFS])</f>
        <v>270212</v>
      </c>
      <c r="L136" s="15">
        <f>Table3[[#This Row],[Prediction]] * (MAX(Table1[RSXFS]) - MIN(RawData!B:B)) +MIN(Table1[RSXFS])</f>
        <v>269069.39004732086</v>
      </c>
      <c r="M136" s="14"/>
    </row>
    <row r="137" spans="1:13" x14ac:dyDescent="0.25">
      <c r="A137">
        <f>NormData!A143</f>
        <v>0.34638359702938326</v>
      </c>
      <c r="B137">
        <f>NormData!B137</f>
        <v>0.2420841300967484</v>
      </c>
      <c r="C137">
        <f>NormData!B138</f>
        <v>0.24211863959498028</v>
      </c>
      <c r="D137">
        <f>NormData!B139</f>
        <v>0.25011469333235897</v>
      </c>
      <c r="E137">
        <f>NormData!B140</f>
        <v>0.25488918391126592</v>
      </c>
      <c r="F137">
        <f>NormData!B141</f>
        <v>0.26083496745957313</v>
      </c>
      <c r="G137">
        <f>NormData!B142</f>
        <v>0.26002297926588147</v>
      </c>
      <c r="H137" s="14">
        <f>NormData!B143</f>
        <v>0.25768445326804951</v>
      </c>
      <c r="I137" s="24">
        <v>0.25939196717892576</v>
      </c>
      <c r="J137" s="22">
        <v>37712</v>
      </c>
      <c r="K137" s="16">
        <f>Table3[[#This Row],[TgtAmount]] * (MAX(Table1[RSXFS]) - MIN(RawData!B:B)) +MIN(Table1[RSXFS])</f>
        <v>269060</v>
      </c>
      <c r="L137" s="15">
        <f>Table3[[#This Row],[Prediction]] * (MAX(Table1[RSXFS]) - MIN(RawData!B:B)) +MIN(Table1[RSXFS])</f>
        <v>269901.15208774805</v>
      </c>
      <c r="M137" s="14"/>
    </row>
    <row r="138" spans="1:13" x14ac:dyDescent="0.25">
      <c r="A138">
        <f>NormData!A144</f>
        <v>0.34888601872780112</v>
      </c>
      <c r="B138">
        <f>NormData!B138</f>
        <v>0.24211863959498028</v>
      </c>
      <c r="C138">
        <f>NormData!B139</f>
        <v>0.25011469333235897</v>
      </c>
      <c r="D138">
        <f>NormData!B140</f>
        <v>0.25488918391126592</v>
      </c>
      <c r="E138">
        <f>NormData!B141</f>
        <v>0.26083496745957313</v>
      </c>
      <c r="F138">
        <f>NormData!B142</f>
        <v>0.26002297926588147</v>
      </c>
      <c r="G138">
        <f>NormData!B143</f>
        <v>0.25768445326804951</v>
      </c>
      <c r="H138" s="14">
        <f>NormData!B144</f>
        <v>0.25991945077118578</v>
      </c>
      <c r="I138" s="24">
        <v>0.2583737192167142</v>
      </c>
      <c r="J138" s="22">
        <v>37742</v>
      </c>
      <c r="K138" s="16">
        <f>Table3[[#This Row],[TgtAmount]] * (MAX(Table1[RSXFS]) - MIN(RawData!B:B)) +MIN(Table1[RSXFS])</f>
        <v>270161</v>
      </c>
      <c r="L138" s="15">
        <f>Table3[[#This Row],[Prediction]] * (MAX(Table1[RSXFS]) - MIN(RawData!B:B)) +MIN(Table1[RSXFS])</f>
        <v>269399.54481309932</v>
      </c>
      <c r="M138" s="14"/>
    </row>
    <row r="139" spans="1:13" x14ac:dyDescent="0.25">
      <c r="A139">
        <f>NormData!A145</f>
        <v>0.35130771714562481</v>
      </c>
      <c r="B139">
        <f>NormData!B139</f>
        <v>0.25011469333235897</v>
      </c>
      <c r="C139">
        <f>NormData!B140</f>
        <v>0.25488918391126592</v>
      </c>
      <c r="D139">
        <f>NormData!B141</f>
        <v>0.26083496745957313</v>
      </c>
      <c r="E139">
        <f>NormData!B142</f>
        <v>0.26002297926588147</v>
      </c>
      <c r="F139">
        <f>NormData!B143</f>
        <v>0.25768445326804951</v>
      </c>
      <c r="G139">
        <f>NormData!B144</f>
        <v>0.25991945077118578</v>
      </c>
      <c r="H139" s="14">
        <f>NormData!B145</f>
        <v>0.26273907977378008</v>
      </c>
      <c r="I139" s="24">
        <v>0.25760177646182048</v>
      </c>
      <c r="J139" s="22">
        <v>37773</v>
      </c>
      <c r="K139" s="16">
        <f>Table3[[#This Row],[TgtAmount]] * (MAX(Table1[RSXFS]) - MIN(RawData!B:B)) +MIN(Table1[RSXFS])</f>
        <v>271550</v>
      </c>
      <c r="L139" s="15">
        <f>Table3[[#This Row],[Prediction]] * (MAX(Table1[RSXFS]) - MIN(RawData!B:B)) +MIN(Table1[RSXFS])</f>
        <v>269019.2719170691</v>
      </c>
      <c r="M139" s="14"/>
    </row>
    <row r="140" spans="1:13" x14ac:dyDescent="0.25">
      <c r="A140">
        <f>NormData!A146</f>
        <v>0.35381013884404261</v>
      </c>
      <c r="B140">
        <f>NormData!B140</f>
        <v>0.25488918391126592</v>
      </c>
      <c r="C140">
        <f>NormData!B141</f>
        <v>0.26083496745957313</v>
      </c>
      <c r="D140">
        <f>NormData!B142</f>
        <v>0.26002297926588147</v>
      </c>
      <c r="E140">
        <f>NormData!B143</f>
        <v>0.25768445326804951</v>
      </c>
      <c r="F140">
        <f>NormData!B144</f>
        <v>0.25991945077118578</v>
      </c>
      <c r="G140">
        <f>NormData!B145</f>
        <v>0.26273907977378008</v>
      </c>
      <c r="H140" s="14">
        <f>NormData!B146</f>
        <v>0.26459650276684976</v>
      </c>
      <c r="I140" s="24">
        <v>0.25838495798997596</v>
      </c>
      <c r="J140" s="22">
        <v>37803</v>
      </c>
      <c r="K140" s="16">
        <f>Table3[[#This Row],[TgtAmount]] * (MAX(Table1[RSXFS]) - MIN(RawData!B:B)) +MIN(Table1[RSXFS])</f>
        <v>272465</v>
      </c>
      <c r="L140" s="15">
        <f>Table3[[#This Row],[Prediction]] * (MAX(Table1[RSXFS]) - MIN(RawData!B:B)) +MIN(Table1[RSXFS])</f>
        <v>269405.08123510599</v>
      </c>
      <c r="M140" s="14"/>
    </row>
    <row r="141" spans="1:13" x14ac:dyDescent="0.25">
      <c r="A141">
        <f>NormData!A147</f>
        <v>0.35631256054246047</v>
      </c>
      <c r="B141">
        <f>NormData!B141</f>
        <v>0.26083496745957313</v>
      </c>
      <c r="C141">
        <f>NormData!B142</f>
        <v>0.26002297926588147</v>
      </c>
      <c r="D141">
        <f>NormData!B143</f>
        <v>0.25768445326804951</v>
      </c>
      <c r="E141">
        <f>NormData!B144</f>
        <v>0.25991945077118578</v>
      </c>
      <c r="F141">
        <f>NormData!B145</f>
        <v>0.26273907977378008</v>
      </c>
      <c r="G141">
        <f>NormData!B146</f>
        <v>0.26459650276684976</v>
      </c>
      <c r="H141" s="14">
        <f>NormData!B147</f>
        <v>0.26844329683446405</v>
      </c>
      <c r="I141" s="24">
        <v>0.25927540758303497</v>
      </c>
      <c r="J141" s="22">
        <v>37834</v>
      </c>
      <c r="K141" s="16">
        <f>Table3[[#This Row],[TgtAmount]] * (MAX(Table1[RSXFS]) - MIN(RawData!B:B)) +MIN(Table1[RSXFS])</f>
        <v>274360</v>
      </c>
      <c r="L141" s="15">
        <f>Table3[[#This Row],[Prediction]] * (MAX(Table1[RSXFS]) - MIN(RawData!B:B)) +MIN(Table1[RSXFS])</f>
        <v>269843.73273273953</v>
      </c>
      <c r="M141" s="14"/>
    </row>
    <row r="142" spans="1:13" x14ac:dyDescent="0.25">
      <c r="A142">
        <f>NormData!A148</f>
        <v>0.35865353567969005</v>
      </c>
      <c r="B142">
        <f>NormData!B142</f>
        <v>0.26002297926588147</v>
      </c>
      <c r="C142">
        <f>NormData!B143</f>
        <v>0.25768445326804951</v>
      </c>
      <c r="D142">
        <f>NormData!B144</f>
        <v>0.25991945077118578</v>
      </c>
      <c r="E142">
        <f>NormData!B145</f>
        <v>0.26273907977378008</v>
      </c>
      <c r="F142">
        <f>NormData!B146</f>
        <v>0.26459650276684976</v>
      </c>
      <c r="G142">
        <f>NormData!B147</f>
        <v>0.26844329683446405</v>
      </c>
      <c r="H142" s="14">
        <f>NormData!B148</f>
        <v>0.2792670994563739</v>
      </c>
      <c r="I142" s="24">
        <v>0.26370551390337471</v>
      </c>
      <c r="J142" s="22">
        <v>37865</v>
      </c>
      <c r="K142" s="16">
        <f>Table3[[#This Row],[TgtAmount]] * (MAX(Table1[RSXFS]) - MIN(RawData!B:B)) +MIN(Table1[RSXFS])</f>
        <v>279692</v>
      </c>
      <c r="L142" s="15">
        <f>Table3[[#This Row],[Prediction]] * (MAX(Table1[RSXFS]) - MIN(RawData!B:B)) +MIN(Table1[RSXFS])</f>
        <v>272026.08284805261</v>
      </c>
      <c r="M142" s="14"/>
    </row>
    <row r="143" spans="1:13" x14ac:dyDescent="0.25">
      <c r="A143">
        <f>NormData!A149</f>
        <v>0.36115595737810785</v>
      </c>
      <c r="B143">
        <f>NormData!B143</f>
        <v>0.25768445326804951</v>
      </c>
      <c r="C143">
        <f>NormData!B144</f>
        <v>0.25991945077118578</v>
      </c>
      <c r="D143">
        <f>NormData!B145</f>
        <v>0.26273907977378008</v>
      </c>
      <c r="E143">
        <f>NormData!B146</f>
        <v>0.26459650276684976</v>
      </c>
      <c r="F143">
        <f>NormData!B147</f>
        <v>0.26844329683446405</v>
      </c>
      <c r="G143">
        <f>NormData!B148</f>
        <v>0.2792670994563739</v>
      </c>
      <c r="H143" s="14">
        <f>NormData!B149</f>
        <v>0.27507115046547226</v>
      </c>
      <c r="I143" s="24">
        <v>0.27483240753238375</v>
      </c>
      <c r="J143" s="22">
        <v>37895</v>
      </c>
      <c r="K143" s="16">
        <f>Table3[[#This Row],[TgtAmount]] * (MAX(Table1[RSXFS]) - MIN(RawData!B:B)) +MIN(Table1[RSXFS])</f>
        <v>277625</v>
      </c>
      <c r="L143" s="15">
        <f>Table3[[#This Row],[Prediction]] * (MAX(Table1[RSXFS]) - MIN(RawData!B:B)) +MIN(Table1[RSXFS])</f>
        <v>277507.3909337878</v>
      </c>
      <c r="M143" s="14"/>
    </row>
    <row r="144" spans="1:13" x14ac:dyDescent="0.25">
      <c r="A144">
        <f>NormData!A150</f>
        <v>0.36357765579593154</v>
      </c>
      <c r="B144">
        <f>NormData!B144</f>
        <v>0.25991945077118578</v>
      </c>
      <c r="C144">
        <f>NormData!B145</f>
        <v>0.26273907977378008</v>
      </c>
      <c r="D144">
        <f>NormData!B146</f>
        <v>0.26459650276684976</v>
      </c>
      <c r="E144">
        <f>NormData!B147</f>
        <v>0.26844329683446405</v>
      </c>
      <c r="F144">
        <f>NormData!B148</f>
        <v>0.2792670994563739</v>
      </c>
      <c r="G144">
        <f>NormData!B149</f>
        <v>0.27507115046547226</v>
      </c>
      <c r="H144" s="14">
        <f>NormData!B150</f>
        <v>0.28249272255581404</v>
      </c>
      <c r="I144" s="24">
        <v>0.27352760813870342</v>
      </c>
      <c r="J144" s="22">
        <v>37926</v>
      </c>
      <c r="K144" s="16">
        <f>Table3[[#This Row],[TgtAmount]] * (MAX(Table1[RSXFS]) - MIN(RawData!B:B)) +MIN(Table1[RSXFS])</f>
        <v>281281</v>
      </c>
      <c r="L144" s="15">
        <f>Table3[[#This Row],[Prediction]] * (MAX(Table1[RSXFS]) - MIN(RawData!B:B)) +MIN(Table1[RSXFS])</f>
        <v>276864.62326607178</v>
      </c>
      <c r="M144" s="14"/>
    </row>
    <row r="145" spans="1:13" x14ac:dyDescent="0.25">
      <c r="A145">
        <f>NormData!A151</f>
        <v>0.36608007749434934</v>
      </c>
      <c r="B145">
        <f>NormData!B145</f>
        <v>0.26273907977378008</v>
      </c>
      <c r="C145">
        <f>NormData!B146</f>
        <v>0.26459650276684976</v>
      </c>
      <c r="D145">
        <f>NormData!B147</f>
        <v>0.26844329683446405</v>
      </c>
      <c r="E145">
        <f>NormData!B148</f>
        <v>0.2792670994563739</v>
      </c>
      <c r="F145">
        <f>NormData!B149</f>
        <v>0.27507115046547226</v>
      </c>
      <c r="G145">
        <f>NormData!B150</f>
        <v>0.28249272255581404</v>
      </c>
      <c r="H145" s="14">
        <f>NormData!B151</f>
        <v>0.27814858571956363</v>
      </c>
      <c r="I145" s="24">
        <v>0.28055095821469295</v>
      </c>
      <c r="J145" s="22">
        <v>37956</v>
      </c>
      <c r="K145" s="16">
        <f>Table3[[#This Row],[TgtAmount]] * (MAX(Table1[RSXFS]) - MIN(RawData!B:B)) +MIN(Table1[RSXFS])</f>
        <v>279141</v>
      </c>
      <c r="L145" s="15">
        <f>Table3[[#This Row],[Prediction]] * (MAX(Table1[RSXFS]) - MIN(RawData!B:B)) +MIN(Table1[RSXFS])</f>
        <v>280324.4519338056</v>
      </c>
      <c r="M145" s="14"/>
    </row>
    <row r="146" spans="1:13" x14ac:dyDescent="0.25">
      <c r="A146">
        <f>NormData!A152</f>
        <v>0.36850177591217309</v>
      </c>
      <c r="B146">
        <f>NormData!B146</f>
        <v>0.26459650276684976</v>
      </c>
      <c r="C146">
        <f>NormData!B147</f>
        <v>0.26844329683446405</v>
      </c>
      <c r="D146">
        <f>NormData!B148</f>
        <v>0.2792670994563739</v>
      </c>
      <c r="E146">
        <f>NormData!B149</f>
        <v>0.27507115046547226</v>
      </c>
      <c r="F146">
        <f>NormData!B150</f>
        <v>0.28249272255581404</v>
      </c>
      <c r="G146">
        <f>NormData!B151</f>
        <v>0.27814858571956363</v>
      </c>
      <c r="H146" s="14">
        <f>NormData!B152</f>
        <v>0.28263279051922585</v>
      </c>
      <c r="I146" s="24">
        <v>0.27688416828676404</v>
      </c>
      <c r="J146" s="22">
        <v>37987</v>
      </c>
      <c r="K146" s="16">
        <f>Table3[[#This Row],[TgtAmount]] * (MAX(Table1[RSXFS]) - MIN(RawData!B:B)) +MIN(Table1[RSXFS])</f>
        <v>281350</v>
      </c>
      <c r="L146" s="15">
        <f>Table3[[#This Row],[Prediction]] * (MAX(Table1[RSXFS]) - MIN(RawData!B:B)) +MIN(Table1[RSXFS])</f>
        <v>278518.12521308917</v>
      </c>
      <c r="M146" s="14"/>
    </row>
    <row r="147" spans="1:13" x14ac:dyDescent="0.25">
      <c r="A147">
        <f>NormData!A153</f>
        <v>0.37100419761059089</v>
      </c>
      <c r="B147">
        <f>NormData!B147</f>
        <v>0.26844329683446405</v>
      </c>
      <c r="C147">
        <f>NormData!B148</f>
        <v>0.2792670994563739</v>
      </c>
      <c r="D147">
        <f>NormData!B149</f>
        <v>0.27507115046547226</v>
      </c>
      <c r="E147">
        <f>NormData!B150</f>
        <v>0.28249272255581404</v>
      </c>
      <c r="F147">
        <f>NormData!B151</f>
        <v>0.27814858571956363</v>
      </c>
      <c r="G147">
        <f>NormData!B152</f>
        <v>0.28263279051922585</v>
      </c>
      <c r="H147" s="14">
        <f>NormData!B153</f>
        <v>0.28193448067265103</v>
      </c>
      <c r="I147" s="24">
        <v>0.27958880581936441</v>
      </c>
      <c r="J147" s="22">
        <v>38018</v>
      </c>
      <c r="K147" s="16">
        <f>Table3[[#This Row],[TgtAmount]] * (MAX(Table1[RSXFS]) - MIN(RawData!B:B)) +MIN(Table1[RSXFS])</f>
        <v>281006</v>
      </c>
      <c r="L147" s="15">
        <f>Table3[[#This Row],[Prediction]] * (MAX(Table1[RSXFS]) - MIN(RawData!B:B)) +MIN(Table1[RSXFS])</f>
        <v>279850.47834512364</v>
      </c>
      <c r="M147" s="14"/>
    </row>
    <row r="148" spans="1:13" x14ac:dyDescent="0.25">
      <c r="A148">
        <f>NormData!A154</f>
        <v>0.37350661930900869</v>
      </c>
      <c r="B148">
        <f>NormData!B148</f>
        <v>0.2792670994563739</v>
      </c>
      <c r="C148">
        <f>NormData!B149</f>
        <v>0.27507115046547226</v>
      </c>
      <c r="D148">
        <f>NormData!B150</f>
        <v>0.28249272255581404</v>
      </c>
      <c r="E148">
        <f>NormData!B151</f>
        <v>0.27814858571956363</v>
      </c>
      <c r="F148">
        <f>NormData!B152</f>
        <v>0.28263279051922585</v>
      </c>
      <c r="G148">
        <f>NormData!B153</f>
        <v>0.28193448067265103</v>
      </c>
      <c r="H148" s="14">
        <f>NormData!B154</f>
        <v>0.29383010771023388</v>
      </c>
      <c r="I148" s="24">
        <v>0.27634070866495319</v>
      </c>
      <c r="J148" s="22">
        <v>38047</v>
      </c>
      <c r="K148" s="16">
        <f>Table3[[#This Row],[TgtAmount]] * (MAX(Table1[RSXFS]) - MIN(RawData!B:B)) +MIN(Table1[RSXFS])</f>
        <v>286866</v>
      </c>
      <c r="L148" s="15">
        <f>Table3[[#This Row],[Prediction]] * (MAX(Table1[RSXFS]) - MIN(RawData!B:B)) +MIN(Table1[RSXFS])</f>
        <v>278250.40722111193</v>
      </c>
      <c r="M148" s="14"/>
    </row>
    <row r="149" spans="1:13" x14ac:dyDescent="0.25">
      <c r="A149">
        <f>NormData!A155</f>
        <v>0.37592831772683244</v>
      </c>
      <c r="B149">
        <f>NormData!B149</f>
        <v>0.27507115046547226</v>
      </c>
      <c r="C149">
        <f>NormData!B150</f>
        <v>0.28249272255581404</v>
      </c>
      <c r="D149">
        <f>NormData!B151</f>
        <v>0.27814858571956363</v>
      </c>
      <c r="E149">
        <f>NormData!B152</f>
        <v>0.28263279051922585</v>
      </c>
      <c r="F149">
        <f>NormData!B153</f>
        <v>0.28193448067265103</v>
      </c>
      <c r="G149">
        <f>NormData!B154</f>
        <v>0.29383010771023388</v>
      </c>
      <c r="H149" s="14">
        <f>NormData!B155</f>
        <v>0.29552310309408103</v>
      </c>
      <c r="I149" s="24">
        <v>0.28782978687204375</v>
      </c>
      <c r="J149" s="22">
        <v>38078</v>
      </c>
      <c r="K149" s="16">
        <f>Table3[[#This Row],[TgtAmount]] * (MAX(Table1[RSXFS]) - MIN(RawData!B:B)) +MIN(Table1[RSXFS])</f>
        <v>287700</v>
      </c>
      <c r="L149" s="15">
        <f>Table3[[#This Row],[Prediction]] * (MAX(Table1[RSXFS]) - MIN(RawData!B:B)) +MIN(Table1[RSXFS])</f>
        <v>283910.1339493324</v>
      </c>
      <c r="M149" s="14"/>
    </row>
    <row r="150" spans="1:13" x14ac:dyDescent="0.25">
      <c r="A150">
        <f>NormData!A156</f>
        <v>0.37843073942525024</v>
      </c>
      <c r="B150">
        <f>NormData!B150</f>
        <v>0.28249272255581404</v>
      </c>
      <c r="C150">
        <f>NormData!B151</f>
        <v>0.27814858571956363</v>
      </c>
      <c r="D150">
        <f>NormData!B152</f>
        <v>0.28263279051922585</v>
      </c>
      <c r="E150">
        <f>NormData!B153</f>
        <v>0.28193448067265103</v>
      </c>
      <c r="F150">
        <f>NormData!B154</f>
        <v>0.29383010771023388</v>
      </c>
      <c r="G150">
        <f>NormData!B155</f>
        <v>0.29552310309408103</v>
      </c>
      <c r="H150" s="14">
        <f>NormData!B156</f>
        <v>0.29954041468237053</v>
      </c>
      <c r="I150" s="24">
        <v>0.28953426372896951</v>
      </c>
      <c r="J150" s="22">
        <v>38108</v>
      </c>
      <c r="K150" s="16">
        <f>Table3[[#This Row],[TgtAmount]] * (MAX(Table1[RSXFS]) - MIN(RawData!B:B)) +MIN(Table1[RSXFS])</f>
        <v>289679</v>
      </c>
      <c r="L150" s="15">
        <f>Table3[[#This Row],[Prediction]] * (MAX(Table1[RSXFS]) - MIN(RawData!B:B)) +MIN(Table1[RSXFS])</f>
        <v>284749.78992963751</v>
      </c>
      <c r="M150" s="14"/>
    </row>
    <row r="151" spans="1:13" x14ac:dyDescent="0.25">
      <c r="A151">
        <f>NormData!A157</f>
        <v>0.38085243784307393</v>
      </c>
      <c r="B151">
        <f>NormData!B151</f>
        <v>0.27814858571956363</v>
      </c>
      <c r="C151">
        <f>NormData!B152</f>
        <v>0.28263279051922585</v>
      </c>
      <c r="D151">
        <f>NormData!B153</f>
        <v>0.28193448067265103</v>
      </c>
      <c r="E151">
        <f>NormData!B154</f>
        <v>0.29383010771023388</v>
      </c>
      <c r="F151">
        <f>NormData!B155</f>
        <v>0.29552310309408103</v>
      </c>
      <c r="G151">
        <f>NormData!B156</f>
        <v>0.29954041468237053</v>
      </c>
      <c r="H151" s="14">
        <f>NormData!B157</f>
        <v>0.30709596482467144</v>
      </c>
      <c r="I151" s="24">
        <v>0.29628809716501381</v>
      </c>
      <c r="J151" s="22">
        <v>38139</v>
      </c>
      <c r="K151" s="16">
        <f>Table3[[#This Row],[TgtAmount]] * (MAX(Table1[RSXFS]) - MIN(RawData!B:B)) +MIN(Table1[RSXFS])</f>
        <v>293401</v>
      </c>
      <c r="L151" s="15">
        <f>Table3[[#This Row],[Prediction]] * (MAX(Table1[RSXFS]) - MIN(RawData!B:B)) +MIN(Table1[RSXFS])</f>
        <v>288076.8498492348</v>
      </c>
      <c r="M151" s="14"/>
    </row>
    <row r="152" spans="1:13" x14ac:dyDescent="0.25">
      <c r="A152">
        <f>NormData!A158</f>
        <v>0.38335485954149179</v>
      </c>
      <c r="B152">
        <f>NormData!B152</f>
        <v>0.28263279051922585</v>
      </c>
      <c r="C152">
        <f>NormData!B153</f>
        <v>0.28193448067265103</v>
      </c>
      <c r="D152">
        <f>NormData!B154</f>
        <v>0.29383010771023388</v>
      </c>
      <c r="E152">
        <f>NormData!B155</f>
        <v>0.29552310309408103</v>
      </c>
      <c r="F152">
        <f>NormData!B156</f>
        <v>0.29954041468237053</v>
      </c>
      <c r="G152">
        <f>NormData!B157</f>
        <v>0.30709596482467144</v>
      </c>
      <c r="H152" s="14">
        <f>NormData!B158</f>
        <v>0.30041736193155749</v>
      </c>
      <c r="I152" s="24">
        <v>0.30255808600509232</v>
      </c>
      <c r="J152" s="22">
        <v>38169</v>
      </c>
      <c r="K152" s="16">
        <f>Table3[[#This Row],[TgtAmount]] * (MAX(Table1[RSXFS]) - MIN(RawData!B:B)) +MIN(Table1[RSXFS])</f>
        <v>290111</v>
      </c>
      <c r="L152" s="15">
        <f>Table3[[#This Row],[Prediction]] * (MAX(Table1[RSXFS]) - MIN(RawData!B:B)) +MIN(Table1[RSXFS])</f>
        <v>291165.55921165657</v>
      </c>
      <c r="M152" s="14"/>
    </row>
    <row r="153" spans="1:13" x14ac:dyDescent="0.25">
      <c r="A153">
        <f>NormData!A159</f>
        <v>0.38585728123990959</v>
      </c>
      <c r="B153">
        <f>NormData!B153</f>
        <v>0.28193448067265103</v>
      </c>
      <c r="C153">
        <f>NormData!B154</f>
        <v>0.29383010771023388</v>
      </c>
      <c r="D153">
        <f>NormData!B155</f>
        <v>0.29552310309408103</v>
      </c>
      <c r="E153">
        <f>NormData!B156</f>
        <v>0.29954041468237053</v>
      </c>
      <c r="F153">
        <f>NormData!B157</f>
        <v>0.30709596482467144</v>
      </c>
      <c r="G153">
        <f>NormData!B158</f>
        <v>0.30041736193155749</v>
      </c>
      <c r="H153" s="14">
        <f>NormData!B159</f>
        <v>0.30772322570429828</v>
      </c>
      <c r="I153" s="24">
        <v>0.29792308644967858</v>
      </c>
      <c r="J153" s="22">
        <v>38200</v>
      </c>
      <c r="K153" s="16">
        <f>Table3[[#This Row],[TgtAmount]] * (MAX(Table1[RSXFS]) - MIN(RawData!B:B)) +MIN(Table1[RSXFS])</f>
        <v>293710</v>
      </c>
      <c r="L153" s="15">
        <f>Table3[[#This Row],[Prediction]] * (MAX(Table1[RSXFS]) - MIN(RawData!B:B)) +MIN(Table1[RSXFS])</f>
        <v>288882.27500066778</v>
      </c>
      <c r="M153" s="14"/>
    </row>
    <row r="154" spans="1:13" x14ac:dyDescent="0.25">
      <c r="A154">
        <f>NormData!A160</f>
        <v>0.38811753309654506</v>
      </c>
      <c r="B154">
        <f>NormData!B154</f>
        <v>0.29383010771023388</v>
      </c>
      <c r="C154">
        <f>NormData!B155</f>
        <v>0.29552310309408103</v>
      </c>
      <c r="D154">
        <f>NormData!B156</f>
        <v>0.29954041468237053</v>
      </c>
      <c r="E154">
        <f>NormData!B157</f>
        <v>0.30709596482467144</v>
      </c>
      <c r="F154">
        <f>NormData!B158</f>
        <v>0.30041736193155749</v>
      </c>
      <c r="G154">
        <f>NormData!B159</f>
        <v>0.30772322570429828</v>
      </c>
      <c r="H154" s="14">
        <f>NormData!B160</f>
        <v>0.30982018521450699</v>
      </c>
      <c r="I154" s="24">
        <v>0.30064264712235844</v>
      </c>
      <c r="J154" s="22">
        <v>38231</v>
      </c>
      <c r="K154" s="16">
        <f>Table3[[#This Row],[TgtAmount]] * (MAX(Table1[RSXFS]) - MIN(RawData!B:B)) +MIN(Table1[RSXFS])</f>
        <v>294743</v>
      </c>
      <c r="L154" s="15">
        <f>Table3[[#This Row],[Prediction]] * (MAX(Table1[RSXFS]) - MIN(RawData!B:B)) +MIN(Table1[RSXFS])</f>
        <v>290221.97954012197</v>
      </c>
      <c r="M154" s="14"/>
    </row>
    <row r="155" spans="1:13" x14ac:dyDescent="0.25">
      <c r="A155">
        <f>NormData!A161</f>
        <v>0.39061995479496286</v>
      </c>
      <c r="B155">
        <f>NormData!B155</f>
        <v>0.29552310309408103</v>
      </c>
      <c r="C155">
        <f>NormData!B156</f>
        <v>0.29954041468237053</v>
      </c>
      <c r="D155">
        <f>NormData!B157</f>
        <v>0.30709596482467144</v>
      </c>
      <c r="E155">
        <f>NormData!B158</f>
        <v>0.30041736193155749</v>
      </c>
      <c r="F155">
        <f>NormData!B159</f>
        <v>0.30772322570429828</v>
      </c>
      <c r="G155">
        <f>NormData!B160</f>
        <v>0.30982018521450699</v>
      </c>
      <c r="H155" s="14">
        <f>NormData!B161</f>
        <v>0.31471241408149925</v>
      </c>
      <c r="I155" s="24">
        <v>0.30149217455336741</v>
      </c>
      <c r="J155" s="22">
        <v>38261</v>
      </c>
      <c r="K155" s="16">
        <f>Table3[[#This Row],[TgtAmount]] * (MAX(Table1[RSXFS]) - MIN(RawData!B:B)) +MIN(Table1[RSXFS])</f>
        <v>297153</v>
      </c>
      <c r="L155" s="15">
        <f>Table3[[#This Row],[Prediction]] * (MAX(Table1[RSXFS]) - MIN(RawData!B:B)) +MIN(Table1[RSXFS])</f>
        <v>290640.47204413079</v>
      </c>
      <c r="M155" s="14"/>
    </row>
    <row r="156" spans="1:13" x14ac:dyDescent="0.25">
      <c r="A156">
        <f>NormData!A162</f>
        <v>0.39304165321278656</v>
      </c>
      <c r="B156">
        <f>NormData!B156</f>
        <v>0.29954041468237053</v>
      </c>
      <c r="C156">
        <f>NormData!B157</f>
        <v>0.30709596482467144</v>
      </c>
      <c r="D156">
        <f>NormData!B158</f>
        <v>0.30041736193155749</v>
      </c>
      <c r="E156">
        <f>NormData!B159</f>
        <v>0.30772322570429828</v>
      </c>
      <c r="F156">
        <f>NormData!B160</f>
        <v>0.30982018521450699</v>
      </c>
      <c r="G156">
        <f>NormData!B161</f>
        <v>0.31471241408149925</v>
      </c>
      <c r="H156" s="14">
        <f>NormData!B162</f>
        <v>0.31097929836100185</v>
      </c>
      <c r="I156" s="24">
        <v>0.3052559038008878</v>
      </c>
      <c r="J156" s="22">
        <v>38292</v>
      </c>
      <c r="K156" s="16">
        <f>Table3[[#This Row],[TgtAmount]] * (MAX(Table1[RSXFS]) - MIN(RawData!B:B)) +MIN(Table1[RSXFS])</f>
        <v>295314</v>
      </c>
      <c r="L156" s="15">
        <f>Table3[[#This Row],[Prediction]] * (MAX(Table1[RSXFS]) - MIN(RawData!B:B)) +MIN(Table1[RSXFS])</f>
        <v>292494.55281858577</v>
      </c>
      <c r="M156" s="14"/>
    </row>
    <row r="157" spans="1:13" x14ac:dyDescent="0.25">
      <c r="A157">
        <f>NormData!A163</f>
        <v>0.39554407491120441</v>
      </c>
      <c r="B157">
        <f>NormData!B157</f>
        <v>0.30709596482467144</v>
      </c>
      <c r="C157">
        <f>NormData!B158</f>
        <v>0.30041736193155749</v>
      </c>
      <c r="D157">
        <f>NormData!B159</f>
        <v>0.30772322570429828</v>
      </c>
      <c r="E157">
        <f>NormData!B160</f>
        <v>0.30982018521450699</v>
      </c>
      <c r="F157">
        <f>NormData!B161</f>
        <v>0.31471241408149925</v>
      </c>
      <c r="G157">
        <f>NormData!B162</f>
        <v>0.31097929836100185</v>
      </c>
      <c r="H157" s="14">
        <f>NormData!B163</f>
        <v>0.33081008002143647</v>
      </c>
      <c r="I157" s="24">
        <v>0.30133364240342531</v>
      </c>
      <c r="J157" s="22">
        <v>38322</v>
      </c>
      <c r="K157" s="16">
        <f>Table3[[#This Row],[TgtAmount]] * (MAX(Table1[RSXFS]) - MIN(RawData!B:B)) +MIN(Table1[RSXFS])</f>
        <v>305083</v>
      </c>
      <c r="L157" s="15">
        <f>Table3[[#This Row],[Prediction]] * (MAX(Table1[RSXFS]) - MIN(RawData!B:B)) +MIN(Table1[RSXFS])</f>
        <v>290562.37625349057</v>
      </c>
      <c r="M157" s="14"/>
    </row>
    <row r="158" spans="1:13" x14ac:dyDescent="0.25">
      <c r="A158">
        <f>NormData!A164</f>
        <v>0.39796577332902811</v>
      </c>
      <c r="B158">
        <f>NormData!B158</f>
        <v>0.30041736193155749</v>
      </c>
      <c r="C158">
        <f>NormData!B159</f>
        <v>0.30772322570429828</v>
      </c>
      <c r="D158">
        <f>NormData!B160</f>
        <v>0.30982018521450699</v>
      </c>
      <c r="E158">
        <f>NormData!B161</f>
        <v>0.31471241408149925</v>
      </c>
      <c r="F158">
        <f>NormData!B162</f>
        <v>0.31097929836100185</v>
      </c>
      <c r="G158">
        <f>NormData!B163</f>
        <v>0.33081008002143647</v>
      </c>
      <c r="H158" s="14">
        <f>NormData!B164</f>
        <v>0.33535112399465711</v>
      </c>
      <c r="I158" s="24">
        <v>0.31961004918944869</v>
      </c>
      <c r="J158" s="22">
        <v>38353</v>
      </c>
      <c r="K158" s="16">
        <f>Table3[[#This Row],[TgtAmount]] * (MAX(Table1[RSXFS]) - MIN(RawData!B:B)) +MIN(Table1[RSXFS])</f>
        <v>307320</v>
      </c>
      <c r="L158" s="15">
        <f>Table3[[#This Row],[Prediction]] * (MAX(Table1[RSXFS]) - MIN(RawData!B:B)) +MIN(Table1[RSXFS])</f>
        <v>299565.66321160784</v>
      </c>
      <c r="M158" s="14"/>
    </row>
    <row r="159" spans="1:13" x14ac:dyDescent="0.25">
      <c r="A159">
        <f>NormData!A165</f>
        <v>0.40046819502744591</v>
      </c>
      <c r="B159">
        <f>NormData!B159</f>
        <v>0.30772322570429828</v>
      </c>
      <c r="C159">
        <f>NormData!B160</f>
        <v>0.30982018521450699</v>
      </c>
      <c r="D159">
        <f>NormData!B161</f>
        <v>0.31471241408149925</v>
      </c>
      <c r="E159">
        <f>NormData!B162</f>
        <v>0.31097929836100185</v>
      </c>
      <c r="F159">
        <f>NormData!B163</f>
        <v>0.33081008002143647</v>
      </c>
      <c r="G159">
        <f>NormData!B164</f>
        <v>0.33535112399465711</v>
      </c>
      <c r="H159" s="14">
        <f>NormData!B165</f>
        <v>0.32702012512738066</v>
      </c>
      <c r="I159" s="24">
        <v>0.32278911436187913</v>
      </c>
      <c r="J159" s="22">
        <v>38384</v>
      </c>
      <c r="K159" s="16">
        <f>Table3[[#This Row],[TgtAmount]] * (MAX(Table1[RSXFS]) - MIN(RawData!B:B)) +MIN(Table1[RSXFS])</f>
        <v>303216</v>
      </c>
      <c r="L159" s="15">
        <f>Table3[[#This Row],[Prediction]] * (MAX(Table1[RSXFS]) - MIN(RawData!B:B)) +MIN(Table1[RSXFS])</f>
        <v>301131.72793872014</v>
      </c>
      <c r="M159" s="14"/>
    </row>
    <row r="160" spans="1:13" x14ac:dyDescent="0.25">
      <c r="A160">
        <f>NormData!A166</f>
        <v>0.40297061672586376</v>
      </c>
      <c r="B160">
        <f>NormData!B160</f>
        <v>0.30982018521450699</v>
      </c>
      <c r="C160">
        <f>NormData!B161</f>
        <v>0.31471241408149925</v>
      </c>
      <c r="D160">
        <f>NormData!B162</f>
        <v>0.31097929836100185</v>
      </c>
      <c r="E160">
        <f>NormData!B163</f>
        <v>0.33081008002143647</v>
      </c>
      <c r="F160">
        <f>NormData!B164</f>
        <v>0.33535112399465711</v>
      </c>
      <c r="G160">
        <f>NormData!B165</f>
        <v>0.32702012512738066</v>
      </c>
      <c r="H160" s="14">
        <f>NormData!B166</f>
        <v>0.32899122646756718</v>
      </c>
      <c r="I160" s="24">
        <v>0.31768542914506454</v>
      </c>
      <c r="J160" s="22">
        <v>38412</v>
      </c>
      <c r="K160" s="16">
        <f>Table3[[#This Row],[TgtAmount]] * (MAX(Table1[RSXFS]) - MIN(RawData!B:B)) +MIN(Table1[RSXFS])</f>
        <v>304187</v>
      </c>
      <c r="L160" s="15">
        <f>Table3[[#This Row],[Prediction]] * (MAX(Table1[RSXFS]) - MIN(RawData!B:B)) +MIN(Table1[RSXFS])</f>
        <v>298617.56073458341</v>
      </c>
      <c r="M160" s="14"/>
    </row>
    <row r="161" spans="1:13" x14ac:dyDescent="0.25">
      <c r="A161">
        <f>NormData!A167</f>
        <v>0.40539231514368745</v>
      </c>
      <c r="B161">
        <f>NormData!B161</f>
        <v>0.31471241408149925</v>
      </c>
      <c r="C161">
        <f>NormData!B162</f>
        <v>0.31097929836100185</v>
      </c>
      <c r="D161">
        <f>NormData!B163</f>
        <v>0.33081008002143647</v>
      </c>
      <c r="E161">
        <f>NormData!B164</f>
        <v>0.33535112399465711</v>
      </c>
      <c r="F161">
        <f>NormData!B165</f>
        <v>0.32702012512738066</v>
      </c>
      <c r="G161">
        <f>NormData!B166</f>
        <v>0.32899122646756718</v>
      </c>
      <c r="H161" s="14">
        <f>NormData!B167</f>
        <v>0.32858929231168976</v>
      </c>
      <c r="I161" s="24">
        <v>0.31700063611157436</v>
      </c>
      <c r="J161" s="22">
        <v>38443</v>
      </c>
      <c r="K161" s="16">
        <f>Table3[[#This Row],[TgtAmount]] * (MAX(Table1[RSXFS]) - MIN(RawData!B:B)) +MIN(Table1[RSXFS])</f>
        <v>303989</v>
      </c>
      <c r="L161" s="15">
        <f>Table3[[#This Row],[Prediction]] * (MAX(Table1[RSXFS]) - MIN(RawData!B:B)) +MIN(Table1[RSXFS])</f>
        <v>298280.21936001151</v>
      </c>
      <c r="M161" s="14"/>
    </row>
    <row r="162" spans="1:13" x14ac:dyDescent="0.25">
      <c r="A162">
        <f>NormData!A168</f>
        <v>0.40789473684210525</v>
      </c>
      <c r="B162">
        <f>NormData!B162</f>
        <v>0.31097929836100185</v>
      </c>
      <c r="C162">
        <f>NormData!B163</f>
        <v>0.33081008002143647</v>
      </c>
      <c r="D162">
        <f>NormData!B164</f>
        <v>0.33535112399465711</v>
      </c>
      <c r="E162">
        <f>NormData!B165</f>
        <v>0.32702012512738066</v>
      </c>
      <c r="F162">
        <f>NormData!B166</f>
        <v>0.32899122646756718</v>
      </c>
      <c r="G162">
        <f>NormData!B167</f>
        <v>0.32858929231168976</v>
      </c>
      <c r="H162" s="14">
        <f>NormData!B168</f>
        <v>0.33382052624954833</v>
      </c>
      <c r="I162" s="24">
        <v>0.31451135170602113</v>
      </c>
      <c r="J162" s="22">
        <v>38473</v>
      </c>
      <c r="K162" s="16">
        <f>Table3[[#This Row],[TgtAmount]] * (MAX(Table1[RSXFS]) - MIN(RawData!B:B)) +MIN(Table1[RSXFS])</f>
        <v>306566</v>
      </c>
      <c r="L162" s="15">
        <f>Table3[[#This Row],[Prediction]] * (MAX(Table1[RSXFS]) - MIN(RawData!B:B)) +MIN(Table1[RSXFS])</f>
        <v>297053.95305471669</v>
      </c>
      <c r="M162" s="14"/>
    </row>
    <row r="163" spans="1:13" x14ac:dyDescent="0.25">
      <c r="A163">
        <f>NormData!A169</f>
        <v>0.41031643525992895</v>
      </c>
      <c r="B163">
        <f>NormData!B163</f>
        <v>0.33081008002143647</v>
      </c>
      <c r="C163">
        <f>NormData!B164</f>
        <v>0.33535112399465711</v>
      </c>
      <c r="D163">
        <f>NormData!B165</f>
        <v>0.32702012512738066</v>
      </c>
      <c r="E163">
        <f>NormData!B166</f>
        <v>0.32899122646756718</v>
      </c>
      <c r="F163">
        <f>NormData!B167</f>
        <v>0.32858929231168976</v>
      </c>
      <c r="G163">
        <f>NormData!B168</f>
        <v>0.33382052624954833</v>
      </c>
      <c r="H163" s="14">
        <f>NormData!B169</f>
        <v>0.3341392316155723</v>
      </c>
      <c r="I163" s="24">
        <v>0.31253687393319585</v>
      </c>
      <c r="J163" s="22">
        <v>38504</v>
      </c>
      <c r="K163" s="16">
        <f>Table3[[#This Row],[TgtAmount]] * (MAX(Table1[RSXFS]) - MIN(RawData!B:B)) +MIN(Table1[RSXFS])</f>
        <v>306723</v>
      </c>
      <c r="L163" s="15">
        <f>Table3[[#This Row],[Prediction]] * (MAX(Table1[RSXFS]) - MIN(RawData!B:B)) +MIN(Table1[RSXFS])</f>
        <v>296081.28976322303</v>
      </c>
      <c r="M163" s="14"/>
    </row>
    <row r="164" spans="1:13" x14ac:dyDescent="0.25">
      <c r="A164">
        <f>NormData!A170</f>
        <v>0.4128188569583468</v>
      </c>
      <c r="B164">
        <f>NormData!B164</f>
        <v>0.33535112399465711</v>
      </c>
      <c r="C164">
        <f>NormData!B165</f>
        <v>0.32702012512738066</v>
      </c>
      <c r="D164">
        <f>NormData!B166</f>
        <v>0.32899122646756718</v>
      </c>
      <c r="E164">
        <f>NormData!B167</f>
        <v>0.32858929231168976</v>
      </c>
      <c r="F164">
        <f>NormData!B168</f>
        <v>0.33382052624954833</v>
      </c>
      <c r="G164">
        <f>NormData!B169</f>
        <v>0.3341392316155723</v>
      </c>
      <c r="H164" s="14">
        <f>NormData!B170</f>
        <v>0.35209026060761078</v>
      </c>
      <c r="I164" s="24">
        <v>0.31306789857145617</v>
      </c>
      <c r="J164" s="22">
        <v>38534</v>
      </c>
      <c r="K164" s="16">
        <f>Table3[[#This Row],[TgtAmount]] * (MAX(Table1[RSXFS]) - MIN(RawData!B:B)) +MIN(Table1[RSXFS])</f>
        <v>315566</v>
      </c>
      <c r="L164" s="15">
        <f>Table3[[#This Row],[Prediction]] * (MAX(Table1[RSXFS]) - MIN(RawData!B:B)) +MIN(Table1[RSXFS])</f>
        <v>296342.88205847359</v>
      </c>
      <c r="M164" s="14"/>
    </row>
    <row r="165" spans="1:13" x14ac:dyDescent="0.25">
      <c r="A165">
        <f>NormData!A171</f>
        <v>0.4153212786567646</v>
      </c>
      <c r="B165">
        <f>NormData!B165</f>
        <v>0.32702012512738066</v>
      </c>
      <c r="C165">
        <f>NormData!B166</f>
        <v>0.32899122646756718</v>
      </c>
      <c r="D165">
        <f>NormData!B167</f>
        <v>0.32858929231168976</v>
      </c>
      <c r="E165">
        <f>NormData!B168</f>
        <v>0.33382052624954833</v>
      </c>
      <c r="F165">
        <f>NormData!B169</f>
        <v>0.3341392316155723</v>
      </c>
      <c r="G165">
        <f>NormData!B170</f>
        <v>0.35209026060761078</v>
      </c>
      <c r="H165" s="14">
        <f>NormData!B171</f>
        <v>0.34777454335813957</v>
      </c>
      <c r="I165" s="24">
        <v>0.33120830765187415</v>
      </c>
      <c r="J165" s="22">
        <v>38565</v>
      </c>
      <c r="K165" s="16">
        <f>Table3[[#This Row],[TgtAmount]] * (MAX(Table1[RSXFS]) - MIN(RawData!B:B)) +MIN(Table1[RSXFS])</f>
        <v>313440</v>
      </c>
      <c r="L165" s="15">
        <f>Table3[[#This Row],[Prediction]] * (MAX(Table1[RSXFS]) - MIN(RawData!B:B)) +MIN(Table1[RSXFS])</f>
        <v>305279.17409885093</v>
      </c>
      <c r="M165" s="14"/>
    </row>
    <row r="166" spans="1:13" x14ac:dyDescent="0.25">
      <c r="A166">
        <f>NormData!A172</f>
        <v>0.41758153051340008</v>
      </c>
      <c r="B166">
        <f>NormData!B166</f>
        <v>0.32899122646756718</v>
      </c>
      <c r="C166">
        <f>NormData!B167</f>
        <v>0.32858929231168976</v>
      </c>
      <c r="D166">
        <f>NormData!B168</f>
        <v>0.33382052624954833</v>
      </c>
      <c r="E166">
        <f>NormData!B169</f>
        <v>0.3341392316155723</v>
      </c>
      <c r="F166">
        <f>NormData!B170</f>
        <v>0.35209026060761078</v>
      </c>
      <c r="G166">
        <f>NormData!B171</f>
        <v>0.34777454335813957</v>
      </c>
      <c r="H166" s="14">
        <f>NormData!B172</f>
        <v>0.34986744292737981</v>
      </c>
      <c r="I166" s="24">
        <v>0.3284029457428731</v>
      </c>
      <c r="J166" s="22">
        <v>38596</v>
      </c>
      <c r="K166" s="16">
        <f>Table3[[#This Row],[TgtAmount]] * (MAX(Table1[RSXFS]) - MIN(RawData!B:B)) +MIN(Table1[RSXFS])</f>
        <v>314471</v>
      </c>
      <c r="L166" s="15">
        <f>Table3[[#This Row],[Prediction]] * (MAX(Table1[RSXFS]) - MIN(RawData!B:B)) +MIN(Table1[RSXFS])</f>
        <v>303897.20232596266</v>
      </c>
      <c r="M166" s="14"/>
    </row>
    <row r="167" spans="1:13" x14ac:dyDescent="0.25">
      <c r="A167">
        <f>NormData!A173</f>
        <v>0.42008395221181788</v>
      </c>
      <c r="B167">
        <f>NormData!B167</f>
        <v>0.32858929231168976</v>
      </c>
      <c r="C167">
        <f>NormData!B168</f>
        <v>0.33382052624954833</v>
      </c>
      <c r="D167">
        <f>NormData!B169</f>
        <v>0.3341392316155723</v>
      </c>
      <c r="E167">
        <f>NormData!B170</f>
        <v>0.35209026060761078</v>
      </c>
      <c r="F167">
        <f>NormData!B171</f>
        <v>0.34777454335813957</v>
      </c>
      <c r="G167">
        <f>NormData!B172</f>
        <v>0.34986744292737981</v>
      </c>
      <c r="H167" s="14">
        <f>NormData!B173</f>
        <v>0.35316208502328378</v>
      </c>
      <c r="I167" s="24">
        <v>0.33097452401464261</v>
      </c>
      <c r="J167" s="22">
        <v>38626</v>
      </c>
      <c r="K167" s="16">
        <f>Table3[[#This Row],[TgtAmount]] * (MAX(Table1[RSXFS]) - MIN(RawData!B:B)) +MIN(Table1[RSXFS])</f>
        <v>316094</v>
      </c>
      <c r="L167" s="15">
        <f>Table3[[#This Row],[Prediction]] * (MAX(Table1[RSXFS]) - MIN(RawData!B:B)) +MIN(Table1[RSXFS])</f>
        <v>305164.00807104522</v>
      </c>
      <c r="M167" s="14"/>
    </row>
    <row r="168" spans="1:13" x14ac:dyDescent="0.25">
      <c r="A168">
        <f>NormData!A174</f>
        <v>0.42250565062964157</v>
      </c>
      <c r="B168">
        <f>NormData!B168</f>
        <v>0.33382052624954833</v>
      </c>
      <c r="C168">
        <f>NormData!B169</f>
        <v>0.3341392316155723</v>
      </c>
      <c r="D168">
        <f>NormData!B170</f>
        <v>0.35209026060761078</v>
      </c>
      <c r="E168">
        <f>NormData!B171</f>
        <v>0.34777454335813957</v>
      </c>
      <c r="F168">
        <f>NormData!B172</f>
        <v>0.34986744292737981</v>
      </c>
      <c r="G168">
        <f>NormData!B173</f>
        <v>0.35316208502328378</v>
      </c>
      <c r="H168" s="14">
        <f>NormData!B174</f>
        <v>0.35077686970431449</v>
      </c>
      <c r="I168" s="24">
        <v>0.33049846264047722</v>
      </c>
      <c r="J168" s="22">
        <v>38657</v>
      </c>
      <c r="K168" s="16">
        <f>Table3[[#This Row],[TgtAmount]] * (MAX(Table1[RSXFS]) - MIN(RawData!B:B)) +MIN(Table1[RSXFS])</f>
        <v>314919</v>
      </c>
      <c r="L168" s="15">
        <f>Table3[[#This Row],[Prediction]] * (MAX(Table1[RSXFS]) - MIN(RawData!B:B)) +MIN(Table1[RSXFS])</f>
        <v>304929.49166902661</v>
      </c>
      <c r="M168" s="14"/>
    </row>
    <row r="169" spans="1:13" x14ac:dyDescent="0.25">
      <c r="A169">
        <f>NormData!A175</f>
        <v>0.42500807232805943</v>
      </c>
      <c r="B169">
        <f>NormData!B169</f>
        <v>0.3341392316155723</v>
      </c>
      <c r="C169">
        <f>NormData!B170</f>
        <v>0.35209026060761078</v>
      </c>
      <c r="D169">
        <f>NormData!B171</f>
        <v>0.34777454335813957</v>
      </c>
      <c r="E169">
        <f>NormData!B172</f>
        <v>0.34986744292737981</v>
      </c>
      <c r="F169">
        <f>NormData!B173</f>
        <v>0.35316208502328378</v>
      </c>
      <c r="G169">
        <f>NormData!B174</f>
        <v>0.35077686970431449</v>
      </c>
      <c r="H169" s="14">
        <f>NormData!B175</f>
        <v>0.35495657893134236</v>
      </c>
      <c r="I169" s="24">
        <v>0.3266106673956708</v>
      </c>
      <c r="J169" s="22">
        <v>38687</v>
      </c>
      <c r="K169" s="16">
        <f>Table3[[#This Row],[TgtAmount]] * (MAX(Table1[RSXFS]) - MIN(RawData!B:B)) +MIN(Table1[RSXFS])</f>
        <v>316978</v>
      </c>
      <c r="L169" s="15">
        <f>Table3[[#This Row],[Prediction]] * (MAX(Table1[RSXFS]) - MIN(RawData!B:B)) +MIN(Table1[RSXFS])</f>
        <v>303014.29375112057</v>
      </c>
      <c r="M169" s="14"/>
    </row>
    <row r="170" spans="1:13" x14ac:dyDescent="0.25">
      <c r="A170">
        <f>NormData!A176</f>
        <v>0.42742977074588312</v>
      </c>
      <c r="B170">
        <f>NormData!B170</f>
        <v>0.35209026060761078</v>
      </c>
      <c r="C170">
        <f>NormData!B171</f>
        <v>0.34777454335813957</v>
      </c>
      <c r="D170">
        <f>NormData!B172</f>
        <v>0.34986744292737981</v>
      </c>
      <c r="E170">
        <f>NormData!B173</f>
        <v>0.35316208502328378</v>
      </c>
      <c r="F170">
        <f>NormData!B174</f>
        <v>0.35077686970431449</v>
      </c>
      <c r="G170">
        <f>NormData!B175</f>
        <v>0.35495657893134236</v>
      </c>
      <c r="H170" s="14">
        <f>NormData!B176</f>
        <v>0.35699872923847686</v>
      </c>
      <c r="I170" s="24">
        <v>0.32475921995579943</v>
      </c>
      <c r="J170" s="22">
        <v>38718</v>
      </c>
      <c r="K170" s="16">
        <f>Table3[[#This Row],[TgtAmount]] * (MAX(Table1[RSXFS]) - MIN(RawData!B:B)) +MIN(Table1[RSXFS])</f>
        <v>317984</v>
      </c>
      <c r="L170" s="15">
        <f>Table3[[#This Row],[Prediction]] * (MAX(Table1[RSXFS]) - MIN(RawData!B:B)) +MIN(Table1[RSXFS])</f>
        <v>302102.23741618602</v>
      </c>
      <c r="M170" s="14"/>
    </row>
    <row r="171" spans="1:13" x14ac:dyDescent="0.25">
      <c r="A171">
        <f>NormData!A177</f>
        <v>0.42993219244430092</v>
      </c>
      <c r="B171">
        <f>NormData!B171</f>
        <v>0.34777454335813957</v>
      </c>
      <c r="C171">
        <f>NormData!B172</f>
        <v>0.34986744292737981</v>
      </c>
      <c r="D171">
        <f>NormData!B173</f>
        <v>0.35316208502328378</v>
      </c>
      <c r="E171">
        <f>NormData!B174</f>
        <v>0.35077686970431449</v>
      </c>
      <c r="F171">
        <f>NormData!B175</f>
        <v>0.35495657893134236</v>
      </c>
      <c r="G171">
        <f>NormData!B176</f>
        <v>0.35699872923847686</v>
      </c>
      <c r="H171" s="14">
        <f>NormData!B177</f>
        <v>0.35865924509457631</v>
      </c>
      <c r="I171" s="24">
        <v>0.32778117932715967</v>
      </c>
      <c r="J171" s="22">
        <v>38749</v>
      </c>
      <c r="K171" s="16">
        <f>Table3[[#This Row],[TgtAmount]] * (MAX(Table1[RSXFS]) - MIN(RawData!B:B)) +MIN(Table1[RSXFS])</f>
        <v>318802</v>
      </c>
      <c r="L171" s="15">
        <f>Table3[[#This Row],[Prediction]] * (MAX(Table1[RSXFS]) - MIN(RawData!B:B)) +MIN(Table1[RSXFS])</f>
        <v>303590.9089977867</v>
      </c>
      <c r="M171" s="14"/>
    </row>
    <row r="172" spans="1:13" x14ac:dyDescent="0.25">
      <c r="A172">
        <f>NormData!A178</f>
        <v>0.43243461414271878</v>
      </c>
      <c r="B172">
        <f>NormData!B172</f>
        <v>0.34986744292737981</v>
      </c>
      <c r="C172">
        <f>NormData!B173</f>
        <v>0.35316208502328378</v>
      </c>
      <c r="D172">
        <f>NormData!B174</f>
        <v>0.35077686970431449</v>
      </c>
      <c r="E172">
        <f>NormData!B175</f>
        <v>0.35495657893134236</v>
      </c>
      <c r="F172">
        <f>NormData!B176</f>
        <v>0.35699872923847686</v>
      </c>
      <c r="G172">
        <f>NormData!B177</f>
        <v>0.35865924509457631</v>
      </c>
      <c r="H172" s="14">
        <f>NormData!B178</f>
        <v>0.35378325599145788</v>
      </c>
      <c r="I172" s="24">
        <v>0.32888891560211864</v>
      </c>
      <c r="J172" s="22">
        <v>38777</v>
      </c>
      <c r="K172" s="16">
        <f>Table3[[#This Row],[TgtAmount]] * (MAX(Table1[RSXFS]) - MIN(RawData!B:B)) +MIN(Table1[RSXFS])</f>
        <v>316400</v>
      </c>
      <c r="L172" s="15">
        <f>Table3[[#This Row],[Prediction]] * (MAX(Table1[RSXFS]) - MIN(RawData!B:B)) +MIN(Table1[RSXFS])</f>
        <v>304136.59982608445</v>
      </c>
      <c r="M172" s="14"/>
    </row>
    <row r="173" spans="1:13" x14ac:dyDescent="0.25">
      <c r="A173">
        <f>NormData!A179</f>
        <v>0.43485631256054247</v>
      </c>
      <c r="B173">
        <f>NormData!B173</f>
        <v>0.35316208502328378</v>
      </c>
      <c r="C173">
        <f>NormData!B174</f>
        <v>0.35077686970431449</v>
      </c>
      <c r="D173">
        <f>NormData!B175</f>
        <v>0.35495657893134236</v>
      </c>
      <c r="E173">
        <f>NormData!B176</f>
        <v>0.35699872923847686</v>
      </c>
      <c r="F173">
        <f>NormData!B177</f>
        <v>0.35865924509457631</v>
      </c>
      <c r="G173">
        <f>NormData!B178</f>
        <v>0.35378325599145788</v>
      </c>
      <c r="H173" s="14">
        <f>NormData!B179</f>
        <v>0.35326561351797947</v>
      </c>
      <c r="I173" s="24">
        <v>0.32459563045659506</v>
      </c>
      <c r="J173" s="22">
        <v>38808</v>
      </c>
      <c r="K173" s="16">
        <f>Table3[[#This Row],[TgtAmount]] * (MAX(Table1[RSXFS]) - MIN(RawData!B:B)) +MIN(Table1[RSXFS])</f>
        <v>316145</v>
      </c>
      <c r="L173" s="15">
        <f>Table3[[#This Row],[Prediction]] * (MAX(Table1[RSXFS]) - MIN(RawData!B:B)) +MIN(Table1[RSXFS])</f>
        <v>302021.65028426691</v>
      </c>
      <c r="M173" s="14"/>
    </row>
    <row r="174" spans="1:13" x14ac:dyDescent="0.25">
      <c r="A174">
        <f>NormData!A180</f>
        <v>0.43735873425896027</v>
      </c>
      <c r="B174">
        <f>NormData!B174</f>
        <v>0.35077686970431449</v>
      </c>
      <c r="C174">
        <f>NormData!B175</f>
        <v>0.35495657893134236</v>
      </c>
      <c r="D174">
        <f>NormData!B176</f>
        <v>0.35699872923847686</v>
      </c>
      <c r="E174">
        <f>NormData!B177</f>
        <v>0.35865924509457631</v>
      </c>
      <c r="F174">
        <f>NormData!B178</f>
        <v>0.35378325599145788</v>
      </c>
      <c r="G174">
        <f>NormData!B179</f>
        <v>0.35326561351797947</v>
      </c>
      <c r="H174" s="14">
        <f>NormData!B180</f>
        <v>0.35525092465155556</v>
      </c>
      <c r="I174" s="24">
        <v>0.32456715009967296</v>
      </c>
      <c r="J174" s="22">
        <v>38838</v>
      </c>
      <c r="K174" s="16">
        <f>Table3[[#This Row],[TgtAmount]] * (MAX(Table1[RSXFS]) - MIN(RawData!B:B)) +MIN(Table1[RSXFS])</f>
        <v>317123</v>
      </c>
      <c r="L174" s="15">
        <f>Table3[[#This Row],[Prediction]] * (MAX(Table1[RSXFS]) - MIN(RawData!B:B)) +MIN(Table1[RSXFS])</f>
        <v>302007.62034780066</v>
      </c>
      <c r="M174" s="14"/>
    </row>
    <row r="175" spans="1:13" x14ac:dyDescent="0.25">
      <c r="A175">
        <f>NormData!A181</f>
        <v>0.43978043267678396</v>
      </c>
      <c r="B175">
        <f>NormData!B175</f>
        <v>0.35495657893134236</v>
      </c>
      <c r="C175">
        <f>NormData!B176</f>
        <v>0.35699872923847686</v>
      </c>
      <c r="D175">
        <f>NormData!B177</f>
        <v>0.35865924509457631</v>
      </c>
      <c r="E175">
        <f>NormData!B178</f>
        <v>0.35378325599145788</v>
      </c>
      <c r="F175">
        <f>NormData!B179</f>
        <v>0.35326561351797947</v>
      </c>
      <c r="G175">
        <f>NormData!B180</f>
        <v>0.35525092465155556</v>
      </c>
      <c r="H175" s="14">
        <f>NormData!B181</f>
        <v>0.36172450052576238</v>
      </c>
      <c r="I175" s="24">
        <v>0.3244243782100491</v>
      </c>
      <c r="J175" s="22">
        <v>38869</v>
      </c>
      <c r="K175" s="16">
        <f>Table3[[#This Row],[TgtAmount]] * (MAX(Table1[RSXFS]) - MIN(RawData!B:B)) +MIN(Table1[RSXFS])</f>
        <v>320312</v>
      </c>
      <c r="L175" s="15">
        <f>Table3[[#This Row],[Prediction]] * (MAX(Table1[RSXFS]) - MIN(RawData!B:B)) +MIN(Table1[RSXFS])</f>
        <v>301937.28834507801</v>
      </c>
      <c r="M175" s="14"/>
    </row>
    <row r="176" spans="1:13" x14ac:dyDescent="0.25">
      <c r="A176">
        <f>NormData!A182</f>
        <v>0.44228285437520182</v>
      </c>
      <c r="B176">
        <f>NormData!B176</f>
        <v>0.35699872923847686</v>
      </c>
      <c r="C176">
        <f>NormData!B177</f>
        <v>0.35865924509457631</v>
      </c>
      <c r="D176">
        <f>NormData!B178</f>
        <v>0.35378325599145788</v>
      </c>
      <c r="E176">
        <f>NormData!B179</f>
        <v>0.35326561351797947</v>
      </c>
      <c r="F176">
        <f>NormData!B180</f>
        <v>0.35525092465155556</v>
      </c>
      <c r="G176">
        <f>NormData!B181</f>
        <v>0.36172450052576238</v>
      </c>
      <c r="H176" s="14">
        <f>NormData!B182</f>
        <v>0.36171029073237276</v>
      </c>
      <c r="I176" s="24">
        <v>0.32966184826034728</v>
      </c>
      <c r="J176" s="22">
        <v>38899</v>
      </c>
      <c r="K176" s="16">
        <f>Table3[[#This Row],[TgtAmount]] * (MAX(Table1[RSXFS]) - MIN(RawData!B:B)) +MIN(Table1[RSXFS])</f>
        <v>320305</v>
      </c>
      <c r="L176" s="15">
        <f>Table3[[#This Row],[Prediction]] * (MAX(Table1[RSXFS]) - MIN(RawData!B:B)) +MIN(Table1[RSXFS])</f>
        <v>304517.36036631576</v>
      </c>
      <c r="M176" s="14"/>
    </row>
    <row r="177" spans="1:13" x14ac:dyDescent="0.25">
      <c r="A177">
        <f>NormData!A183</f>
        <v>0.44478527607361962</v>
      </c>
      <c r="B177">
        <f>NormData!B177</f>
        <v>0.35865924509457631</v>
      </c>
      <c r="C177">
        <f>NormData!B178</f>
        <v>0.35378325599145788</v>
      </c>
      <c r="D177">
        <f>NormData!B179</f>
        <v>0.35326561351797947</v>
      </c>
      <c r="E177">
        <f>NormData!B180</f>
        <v>0.35525092465155556</v>
      </c>
      <c r="F177">
        <f>NormData!B181</f>
        <v>0.36172450052576238</v>
      </c>
      <c r="G177">
        <f>NormData!B182</f>
        <v>0.36171029073237276</v>
      </c>
      <c r="H177" s="14">
        <f>NormData!B183</f>
        <v>0.36400212740906746</v>
      </c>
      <c r="I177" s="24">
        <v>0.33092380145082823</v>
      </c>
      <c r="J177" s="22">
        <v>38930</v>
      </c>
      <c r="K177" s="16">
        <f>Table3[[#This Row],[TgtAmount]] * (MAX(Table1[RSXFS]) - MIN(RawData!B:B)) +MIN(Table1[RSXFS])</f>
        <v>321434</v>
      </c>
      <c r="L177" s="15">
        <f>Table3[[#This Row],[Prediction]] * (MAX(Table1[RSXFS]) - MIN(RawData!B:B)) +MIN(Table1[RSXFS])</f>
        <v>305139.02122310409</v>
      </c>
      <c r="M177" s="14"/>
    </row>
    <row r="178" spans="1:13" x14ac:dyDescent="0.25">
      <c r="A178">
        <f>NormData!A184</f>
        <v>0.44704552793025509</v>
      </c>
      <c r="B178">
        <f>NormData!B178</f>
        <v>0.35378325599145788</v>
      </c>
      <c r="C178">
        <f>NormData!B179</f>
        <v>0.35326561351797947</v>
      </c>
      <c r="D178">
        <f>NormData!B180</f>
        <v>0.35525092465155556</v>
      </c>
      <c r="E178">
        <f>NormData!B181</f>
        <v>0.36172450052576238</v>
      </c>
      <c r="F178">
        <f>NormData!B182</f>
        <v>0.36171029073237276</v>
      </c>
      <c r="G178">
        <f>NormData!B183</f>
        <v>0.36400212740906746</v>
      </c>
      <c r="H178" s="14">
        <f>NormData!B184</f>
        <v>0.3686182802902046</v>
      </c>
      <c r="I178" s="24">
        <v>0.33526812201135309</v>
      </c>
      <c r="J178" s="22">
        <v>38961</v>
      </c>
      <c r="K178" s="16">
        <f>Table3[[#This Row],[TgtAmount]] * (MAX(Table1[RSXFS]) - MIN(RawData!B:B)) +MIN(Table1[RSXFS])</f>
        <v>323708</v>
      </c>
      <c r="L178" s="15">
        <f>Table3[[#This Row],[Prediction]] * (MAX(Table1[RSXFS]) - MIN(RawData!B:B)) +MIN(Table1[RSXFS])</f>
        <v>307279.1117289887</v>
      </c>
      <c r="M178" s="14"/>
    </row>
    <row r="179" spans="1:13" x14ac:dyDescent="0.25">
      <c r="A179">
        <f>NormData!A185</f>
        <v>0.44954794962867289</v>
      </c>
      <c r="B179">
        <f>NormData!B179</f>
        <v>0.35326561351797947</v>
      </c>
      <c r="C179">
        <f>NormData!B180</f>
        <v>0.35525092465155556</v>
      </c>
      <c r="D179">
        <f>NormData!B181</f>
        <v>0.36172450052576238</v>
      </c>
      <c r="E179">
        <f>NormData!B182</f>
        <v>0.36171029073237276</v>
      </c>
      <c r="F179">
        <f>NormData!B183</f>
        <v>0.36400212740906746</v>
      </c>
      <c r="G179">
        <f>NormData!B184</f>
        <v>0.3686182802902046</v>
      </c>
      <c r="H179" s="14">
        <f>NormData!B185</f>
        <v>0.36693340478829439</v>
      </c>
      <c r="I179" s="24">
        <v>0.33884760328756047</v>
      </c>
      <c r="J179" s="22">
        <v>38991</v>
      </c>
      <c r="K179" s="16">
        <f>Table3[[#This Row],[TgtAmount]] * (MAX(Table1[RSXFS]) - MIN(RawData!B:B)) +MIN(Table1[RSXFS])</f>
        <v>322878</v>
      </c>
      <c r="L179" s="15">
        <f>Table3[[#This Row],[Prediction]] * (MAX(Table1[RSXFS]) - MIN(RawData!B:B)) +MIN(Table1[RSXFS])</f>
        <v>309042.42863631144</v>
      </c>
      <c r="M179" s="14"/>
    </row>
    <row r="180" spans="1:13" x14ac:dyDescent="0.25">
      <c r="A180">
        <f>NormData!A186</f>
        <v>0.45196964804649659</v>
      </c>
      <c r="B180">
        <f>NormData!B180</f>
        <v>0.35525092465155556</v>
      </c>
      <c r="C180">
        <f>NormData!B181</f>
        <v>0.36172450052576238</v>
      </c>
      <c r="D180">
        <f>NormData!B182</f>
        <v>0.36171029073237276</v>
      </c>
      <c r="E180">
        <f>NormData!B183</f>
        <v>0.36400212740906746</v>
      </c>
      <c r="F180">
        <f>NormData!B184</f>
        <v>0.3686182802902046</v>
      </c>
      <c r="G180">
        <f>NormData!B185</f>
        <v>0.36693340478829439</v>
      </c>
      <c r="H180" s="14">
        <f>NormData!B186</f>
        <v>0.37584091527309194</v>
      </c>
      <c r="I180" s="24">
        <v>0.33653768407330886</v>
      </c>
      <c r="J180" s="22">
        <v>39022</v>
      </c>
      <c r="K180" s="16">
        <f>Table3[[#This Row],[TgtAmount]] * (MAX(Table1[RSXFS]) - MIN(RawData!B:B)) +MIN(Table1[RSXFS])</f>
        <v>327266</v>
      </c>
      <c r="L180" s="15">
        <f>Table3[[#This Row],[Prediction]] * (MAX(Table1[RSXFS]) - MIN(RawData!B:B)) +MIN(Table1[RSXFS])</f>
        <v>307904.52085282526</v>
      </c>
      <c r="M180" s="14"/>
    </row>
    <row r="181" spans="1:13" x14ac:dyDescent="0.25">
      <c r="A181">
        <f>NormData!A187</f>
        <v>0.45447206974491444</v>
      </c>
      <c r="B181">
        <f>NormData!B181</f>
        <v>0.36172450052576238</v>
      </c>
      <c r="C181">
        <f>NormData!B182</f>
        <v>0.36171029073237276</v>
      </c>
      <c r="D181">
        <f>NormData!B183</f>
        <v>0.36400212740906746</v>
      </c>
      <c r="E181">
        <f>NormData!B184</f>
        <v>0.3686182802902046</v>
      </c>
      <c r="F181">
        <f>NormData!B185</f>
        <v>0.36693340478829439</v>
      </c>
      <c r="G181">
        <f>NormData!B186</f>
        <v>0.37584091527309194</v>
      </c>
      <c r="H181" s="14">
        <f>NormData!B187</f>
        <v>0.3693653094284009</v>
      </c>
      <c r="I181" s="24">
        <v>0.34199482050665592</v>
      </c>
      <c r="J181" s="22">
        <v>39052</v>
      </c>
      <c r="K181" s="16">
        <f>Table3[[#This Row],[TgtAmount]] * (MAX(Table1[RSXFS]) - MIN(RawData!B:B)) +MIN(Table1[RSXFS])</f>
        <v>324076</v>
      </c>
      <c r="L181" s="15">
        <f>Table3[[#This Row],[Prediction]] * (MAX(Table1[RSXFS]) - MIN(RawData!B:B)) +MIN(Table1[RSXFS])</f>
        <v>310592.80448834784</v>
      </c>
      <c r="M181" s="14"/>
    </row>
    <row r="182" spans="1:13" x14ac:dyDescent="0.25">
      <c r="A182">
        <f>NormData!A188</f>
        <v>0.45689376816273813</v>
      </c>
      <c r="B182">
        <f>NormData!B182</f>
        <v>0.36171029073237276</v>
      </c>
      <c r="C182">
        <f>NormData!B183</f>
        <v>0.36400212740906746</v>
      </c>
      <c r="D182">
        <f>NormData!B184</f>
        <v>0.3686182802902046</v>
      </c>
      <c r="E182">
        <f>NormData!B185</f>
        <v>0.36693340478829439</v>
      </c>
      <c r="F182">
        <f>NormData!B186</f>
        <v>0.37584091527309194</v>
      </c>
      <c r="G182">
        <f>NormData!B187</f>
        <v>0.3693653094284009</v>
      </c>
      <c r="H182" s="14">
        <f>NormData!B188</f>
        <v>0.37216463872615291</v>
      </c>
      <c r="I182" s="24">
        <v>0.33671495601471979</v>
      </c>
      <c r="J182" s="22">
        <v>39083</v>
      </c>
      <c r="K182" s="16">
        <f>Table3[[#This Row],[TgtAmount]] * (MAX(Table1[RSXFS]) - MIN(RawData!B:B)) +MIN(Table1[RSXFS])</f>
        <v>325455</v>
      </c>
      <c r="L182" s="15">
        <f>Table3[[#This Row],[Prediction]] * (MAX(Table1[RSXFS]) - MIN(RawData!B:B)) +MIN(Table1[RSXFS])</f>
        <v>307991.84820205922</v>
      </c>
      <c r="M182" s="14"/>
    </row>
    <row r="183" spans="1:13" x14ac:dyDescent="0.25">
      <c r="A183">
        <f>NormData!A189</f>
        <v>0.45939618986115593</v>
      </c>
      <c r="B183">
        <f>NormData!B183</f>
        <v>0.36400212740906746</v>
      </c>
      <c r="C183">
        <f>NormData!B184</f>
        <v>0.3686182802902046</v>
      </c>
      <c r="D183">
        <f>NormData!B185</f>
        <v>0.36693340478829439</v>
      </c>
      <c r="E183">
        <f>NormData!B186</f>
        <v>0.37584091527309194</v>
      </c>
      <c r="F183">
        <f>NormData!B187</f>
        <v>0.3693653094284009</v>
      </c>
      <c r="G183">
        <f>NormData!B188</f>
        <v>0.37216463872615291</v>
      </c>
      <c r="H183" s="14">
        <f>NormData!B189</f>
        <v>0.3762022500192847</v>
      </c>
      <c r="I183" s="24">
        <v>0.33848738542708295</v>
      </c>
      <c r="J183" s="22">
        <v>39114</v>
      </c>
      <c r="K183" s="16">
        <f>Table3[[#This Row],[TgtAmount]] * (MAX(Table1[RSXFS]) - MIN(RawData!B:B)) +MIN(Table1[RSXFS])</f>
        <v>327444</v>
      </c>
      <c r="L183" s="15">
        <f>Table3[[#This Row],[Prediction]] * (MAX(Table1[RSXFS]) - MIN(RawData!B:B)) +MIN(Table1[RSXFS])</f>
        <v>308864.97883431875</v>
      </c>
      <c r="M183" s="14"/>
    </row>
    <row r="184" spans="1:13" x14ac:dyDescent="0.25">
      <c r="A184">
        <f>NormData!A190</f>
        <v>0.46189861155957379</v>
      </c>
      <c r="B184">
        <f>NormData!B184</f>
        <v>0.3686182802902046</v>
      </c>
      <c r="C184">
        <f>NormData!B185</f>
        <v>0.36693340478829439</v>
      </c>
      <c r="D184">
        <f>NormData!B186</f>
        <v>0.37584091527309194</v>
      </c>
      <c r="E184">
        <f>NormData!B187</f>
        <v>0.3693653094284009</v>
      </c>
      <c r="F184">
        <f>NormData!B188</f>
        <v>0.37216463872615291</v>
      </c>
      <c r="G184">
        <f>NormData!B189</f>
        <v>0.3762022500192847</v>
      </c>
      <c r="H184" s="14">
        <f>NormData!B190</f>
        <v>0.37868693389198121</v>
      </c>
      <c r="I184" s="24">
        <v>0.33990171307024636</v>
      </c>
      <c r="J184" s="22">
        <v>39142</v>
      </c>
      <c r="K184" s="16">
        <f>Table3[[#This Row],[TgtAmount]] * (MAX(Table1[RSXFS]) - MIN(RawData!B:B)) +MIN(Table1[RSXFS])</f>
        <v>328668</v>
      </c>
      <c r="L184" s="15">
        <f>Table3[[#This Row],[Prediction]] * (MAX(Table1[RSXFS]) - MIN(RawData!B:B)) +MIN(Table1[RSXFS])</f>
        <v>309561.70208923862</v>
      </c>
      <c r="M184" s="14"/>
    </row>
    <row r="185" spans="1:13" x14ac:dyDescent="0.25">
      <c r="A185">
        <f>NormData!A191</f>
        <v>0.46432030997739748</v>
      </c>
      <c r="B185">
        <f>NormData!B185</f>
        <v>0.36693340478829439</v>
      </c>
      <c r="C185">
        <f>NormData!B186</f>
        <v>0.37584091527309194</v>
      </c>
      <c r="D185">
        <f>NormData!B187</f>
        <v>0.3693653094284009</v>
      </c>
      <c r="E185">
        <f>NormData!B188</f>
        <v>0.37216463872615291</v>
      </c>
      <c r="F185">
        <f>NormData!B189</f>
        <v>0.3762022500192847</v>
      </c>
      <c r="G185">
        <f>NormData!B190</f>
        <v>0.37868693389198121</v>
      </c>
      <c r="H185" s="14">
        <f>NormData!B191</f>
        <v>0.38249515852039512</v>
      </c>
      <c r="I185" s="24">
        <v>0.34236846893990758</v>
      </c>
      <c r="J185" s="22">
        <v>39173</v>
      </c>
      <c r="K185" s="16">
        <f>Table3[[#This Row],[TgtAmount]] * (MAX(Table1[RSXFS]) - MIN(RawData!B:B)) +MIN(Table1[RSXFS])</f>
        <v>330544</v>
      </c>
      <c r="L185" s="15">
        <f>Table3[[#This Row],[Prediction]] * (MAX(Table1[RSXFS]) - MIN(RawData!B:B)) +MIN(Table1[RSXFS])</f>
        <v>310776.87043223938</v>
      </c>
      <c r="M185" s="14"/>
    </row>
    <row r="186" spans="1:13" x14ac:dyDescent="0.25">
      <c r="A186">
        <f>NormData!A192</f>
        <v>0.46682273167581528</v>
      </c>
      <c r="B186">
        <f>NormData!B186</f>
        <v>0.37584091527309194</v>
      </c>
      <c r="C186">
        <f>NormData!B187</f>
        <v>0.3693653094284009</v>
      </c>
      <c r="D186">
        <f>NormData!B188</f>
        <v>0.37216463872615291</v>
      </c>
      <c r="E186">
        <f>NormData!B189</f>
        <v>0.3762022500192847</v>
      </c>
      <c r="F186">
        <f>NormData!B190</f>
        <v>0.37868693389198121</v>
      </c>
      <c r="G186">
        <f>NormData!B191</f>
        <v>0.38249515852039512</v>
      </c>
      <c r="H186" s="14">
        <f>NormData!B192</f>
        <v>0.38955336589405992</v>
      </c>
      <c r="I186" s="24">
        <v>0.34412773498736016</v>
      </c>
      <c r="J186" s="22">
        <v>39203</v>
      </c>
      <c r="K186" s="16">
        <f>Table3[[#This Row],[TgtAmount]] * (MAX(Table1[RSXFS]) - MIN(RawData!B:B)) +MIN(Table1[RSXFS])</f>
        <v>334021</v>
      </c>
      <c r="L186" s="15">
        <f>Table3[[#This Row],[Prediction]] * (MAX(Table1[RSXFS]) - MIN(RawData!B:B)) +MIN(Table1[RSXFS])</f>
        <v>311643.51655400335</v>
      </c>
      <c r="M186" s="14"/>
    </row>
    <row r="187" spans="1:13" x14ac:dyDescent="0.25">
      <c r="A187">
        <f>NormData!A193</f>
        <v>0.46924443009363903</v>
      </c>
      <c r="B187">
        <f>NormData!B187</f>
        <v>0.3693653094284009</v>
      </c>
      <c r="C187">
        <f>NormData!B188</f>
        <v>0.37216463872615291</v>
      </c>
      <c r="D187">
        <f>NormData!B189</f>
        <v>0.3762022500192847</v>
      </c>
      <c r="E187">
        <f>NormData!B190</f>
        <v>0.37868693389198121</v>
      </c>
      <c r="F187">
        <f>NormData!B191</f>
        <v>0.38249515852039512</v>
      </c>
      <c r="G187">
        <f>NormData!B192</f>
        <v>0.38955336589405992</v>
      </c>
      <c r="H187" s="14">
        <f>NormData!B193</f>
        <v>0.37988664644816067</v>
      </c>
      <c r="I187" s="24">
        <v>0.35183953770657866</v>
      </c>
      <c r="J187" s="22">
        <v>39234</v>
      </c>
      <c r="K187" s="16">
        <f>Table3[[#This Row],[TgtAmount]] * (MAX(Table1[RSXFS]) - MIN(RawData!B:B)) +MIN(Table1[RSXFS])</f>
        <v>329259</v>
      </c>
      <c r="L187" s="15">
        <f>Table3[[#This Row],[Prediction]] * (MAX(Table1[RSXFS]) - MIN(RawData!B:B)) +MIN(Table1[RSXFS])</f>
        <v>315442.48938593938</v>
      </c>
      <c r="M187" s="14"/>
    </row>
    <row r="188" spans="1:13" x14ac:dyDescent="0.25">
      <c r="A188">
        <f>NormData!A194</f>
        <v>0.47174685179205683</v>
      </c>
      <c r="B188">
        <f>NormData!B188</f>
        <v>0.37216463872615291</v>
      </c>
      <c r="C188">
        <f>NormData!B189</f>
        <v>0.3762022500192847</v>
      </c>
      <c r="D188">
        <f>NormData!B190</f>
        <v>0.37868693389198121</v>
      </c>
      <c r="E188">
        <f>NormData!B191</f>
        <v>0.38249515852039512</v>
      </c>
      <c r="F188">
        <f>NormData!B192</f>
        <v>0.38955336589405992</v>
      </c>
      <c r="G188">
        <f>NormData!B193</f>
        <v>0.37988664644816067</v>
      </c>
      <c r="H188" s="14">
        <f>NormData!B194</f>
        <v>0.38236118046843598</v>
      </c>
      <c r="I188" s="24">
        <v>0.34310799581271217</v>
      </c>
      <c r="J188" s="22">
        <v>39264</v>
      </c>
      <c r="K188" s="16">
        <f>Table3[[#This Row],[TgtAmount]] * (MAX(Table1[RSXFS]) - MIN(RawData!B:B)) +MIN(Table1[RSXFS])</f>
        <v>330478</v>
      </c>
      <c r="L188" s="15">
        <f>Table3[[#This Row],[Prediction]] * (MAX(Table1[RSXFS]) - MIN(RawData!B:B)) +MIN(Table1[RSXFS])</f>
        <v>311141.17468126665</v>
      </c>
      <c r="M188" s="14"/>
    </row>
    <row r="189" spans="1:13" x14ac:dyDescent="0.25">
      <c r="A189">
        <f>NormData!A195</f>
        <v>0.47424927349047463</v>
      </c>
      <c r="B189">
        <f>NormData!B189</f>
        <v>0.3762022500192847</v>
      </c>
      <c r="C189">
        <f>NormData!B190</f>
        <v>0.37868693389198121</v>
      </c>
      <c r="D189">
        <f>NormData!B191</f>
        <v>0.38249515852039512</v>
      </c>
      <c r="E189">
        <f>NormData!B192</f>
        <v>0.38955336589405992</v>
      </c>
      <c r="F189">
        <f>NormData!B193</f>
        <v>0.37988664644816067</v>
      </c>
      <c r="G189">
        <f>NormData!B194</f>
        <v>0.38236118046843598</v>
      </c>
      <c r="H189" s="14">
        <f>NormData!B195</f>
        <v>0.3770649874750821</v>
      </c>
      <c r="I189" s="24">
        <v>0.34383177780664737</v>
      </c>
      <c r="J189" s="22">
        <v>39295</v>
      </c>
      <c r="K189" s="16">
        <f>Table3[[#This Row],[TgtAmount]] * (MAX(Table1[RSXFS]) - MIN(RawData!B:B)) +MIN(Table1[RSXFS])</f>
        <v>327869</v>
      </c>
      <c r="L189" s="15">
        <f>Table3[[#This Row],[Prediction]] * (MAX(Table1[RSXFS]) - MIN(RawData!B:B)) +MIN(Table1[RSXFS])</f>
        <v>311497.72271955502</v>
      </c>
      <c r="M189" s="14"/>
    </row>
    <row r="190" spans="1:13" x14ac:dyDescent="0.25">
      <c r="A190">
        <f>NormData!A196</f>
        <v>0.47659024862770422</v>
      </c>
      <c r="B190">
        <f>NormData!B190</f>
        <v>0.37868693389198121</v>
      </c>
      <c r="C190">
        <f>NormData!B191</f>
        <v>0.38249515852039512</v>
      </c>
      <c r="D190">
        <f>NormData!B192</f>
        <v>0.38955336589405992</v>
      </c>
      <c r="E190">
        <f>NormData!B193</f>
        <v>0.37988664644816067</v>
      </c>
      <c r="F190">
        <f>NormData!B194</f>
        <v>0.38236118046843598</v>
      </c>
      <c r="G190">
        <f>NormData!B195</f>
        <v>0.3770649874750821</v>
      </c>
      <c r="H190" s="14">
        <f>NormData!B196</f>
        <v>0.37833168905724113</v>
      </c>
      <c r="I190" s="24">
        <v>0.33777603618699242</v>
      </c>
      <c r="J190" s="22">
        <v>39326</v>
      </c>
      <c r="K190" s="16">
        <f>Table3[[#This Row],[TgtAmount]] * (MAX(Table1[RSXFS]) - MIN(RawData!B:B)) +MIN(Table1[RSXFS])</f>
        <v>328493</v>
      </c>
      <c r="L190" s="15">
        <f>Table3[[#This Row],[Prediction]] * (MAX(Table1[RSXFS]) - MIN(RawData!B:B)) +MIN(Table1[RSXFS])</f>
        <v>308514.55539436382</v>
      </c>
      <c r="M190" s="14"/>
    </row>
    <row r="191" spans="1:13" x14ac:dyDescent="0.25">
      <c r="A191">
        <f>NormData!A197</f>
        <v>0.47909267032612207</v>
      </c>
      <c r="B191">
        <f>NormData!B191</f>
        <v>0.38249515852039512</v>
      </c>
      <c r="C191">
        <f>NormData!B192</f>
        <v>0.38955336589405992</v>
      </c>
      <c r="D191">
        <f>NormData!B193</f>
        <v>0.37988664644816067</v>
      </c>
      <c r="E191">
        <f>NormData!B194</f>
        <v>0.38236118046843598</v>
      </c>
      <c r="F191">
        <f>NormData!B195</f>
        <v>0.3770649874750821</v>
      </c>
      <c r="G191">
        <f>NormData!B196</f>
        <v>0.37833168905724113</v>
      </c>
      <c r="H191" s="14">
        <f>NormData!B197</f>
        <v>0.37740602251643263</v>
      </c>
      <c r="I191" s="24">
        <v>0.33823637154307329</v>
      </c>
      <c r="J191" s="22">
        <v>39356</v>
      </c>
      <c r="K191" s="16">
        <f>Table3[[#This Row],[TgtAmount]] * (MAX(Table1[RSXFS]) - MIN(RawData!B:B)) +MIN(Table1[RSXFS])</f>
        <v>328037</v>
      </c>
      <c r="L191" s="15">
        <f>Table3[[#This Row],[Prediction]] * (MAX(Table1[RSXFS]) - MIN(RawData!B:B)) +MIN(Table1[RSXFS])</f>
        <v>308741.32487680565</v>
      </c>
      <c r="M191" s="14"/>
    </row>
    <row r="192" spans="1:13" x14ac:dyDescent="0.25">
      <c r="A192">
        <f>NormData!A198</f>
        <v>0.48151436874394576</v>
      </c>
      <c r="B192">
        <f>NormData!B192</f>
        <v>0.38955336589405992</v>
      </c>
      <c r="C192">
        <f>NormData!B193</f>
        <v>0.37988664644816067</v>
      </c>
      <c r="D192">
        <f>NormData!B194</f>
        <v>0.38236118046843598</v>
      </c>
      <c r="E192">
        <f>NormData!B195</f>
        <v>0.3770649874750821</v>
      </c>
      <c r="F192">
        <f>NormData!B196</f>
        <v>0.37833168905724113</v>
      </c>
      <c r="G192">
        <f>NormData!B197</f>
        <v>0.37740602251643263</v>
      </c>
      <c r="H192" s="14">
        <f>NormData!B198</f>
        <v>0.38359946246381577</v>
      </c>
      <c r="I192" s="24">
        <v>0.3373960096771374</v>
      </c>
      <c r="J192" s="22">
        <v>39387</v>
      </c>
      <c r="K192" s="16">
        <f>Table3[[#This Row],[TgtAmount]] * (MAX(Table1[RSXFS]) - MIN(RawData!B:B)) +MIN(Table1[RSXFS])</f>
        <v>331088</v>
      </c>
      <c r="L192" s="15">
        <f>Table3[[#This Row],[Prediction]] * (MAX(Table1[RSXFS]) - MIN(RawData!B:B)) +MIN(Table1[RSXFS])</f>
        <v>308327.34749513207</v>
      </c>
      <c r="M192" s="14"/>
    </row>
    <row r="193" spans="1:13" x14ac:dyDescent="0.25">
      <c r="A193">
        <f>NormData!A199</f>
        <v>0.48401679044236356</v>
      </c>
      <c r="B193">
        <f>NormData!B193</f>
        <v>0.37988664644816067</v>
      </c>
      <c r="C193">
        <f>NormData!B194</f>
        <v>0.38236118046843598</v>
      </c>
      <c r="D193">
        <f>NormData!B195</f>
        <v>0.3770649874750821</v>
      </c>
      <c r="E193">
        <f>NormData!B196</f>
        <v>0.37833168905724113</v>
      </c>
      <c r="F193">
        <f>NormData!B197</f>
        <v>0.37740602251643263</v>
      </c>
      <c r="G193">
        <f>NormData!B198</f>
        <v>0.38359946246381577</v>
      </c>
      <c r="H193" s="14">
        <f>NormData!B199</f>
        <v>0.38497172251115469</v>
      </c>
      <c r="I193" s="24">
        <v>0.34661165238828745</v>
      </c>
      <c r="J193" s="22">
        <v>39417</v>
      </c>
      <c r="K193" s="16">
        <f>Table3[[#This Row],[TgtAmount]] * (MAX(Table1[RSXFS]) - MIN(RawData!B:B)) +MIN(Table1[RSXFS])</f>
        <v>331764</v>
      </c>
      <c r="L193" s="15">
        <f>Table3[[#This Row],[Prediction]] * (MAX(Table1[RSXFS]) - MIN(RawData!B:B)) +MIN(Table1[RSXFS])</f>
        <v>312867.13897621341</v>
      </c>
      <c r="M193" s="14"/>
    </row>
    <row r="194" spans="1:13" x14ac:dyDescent="0.25">
      <c r="A194">
        <f>NormData!A200</f>
        <v>0.48643848886018726</v>
      </c>
      <c r="B194">
        <f>NormData!B194</f>
        <v>0.38236118046843598</v>
      </c>
      <c r="C194">
        <f>NormData!B195</f>
        <v>0.3770649874750821</v>
      </c>
      <c r="D194">
        <f>NormData!B196</f>
        <v>0.37833168905724113</v>
      </c>
      <c r="E194">
        <f>NormData!B197</f>
        <v>0.37740602251643263</v>
      </c>
      <c r="F194">
        <f>NormData!B198</f>
        <v>0.38359946246381577</v>
      </c>
      <c r="G194">
        <f>NormData!B199</f>
        <v>0.38497172251115469</v>
      </c>
      <c r="H194" s="14">
        <f>NormData!B200</f>
        <v>0.38200187569272742</v>
      </c>
      <c r="I194" s="24">
        <v>0.34851534126088213</v>
      </c>
      <c r="J194" s="22">
        <v>39448</v>
      </c>
      <c r="K194" s="16">
        <f>Table3[[#This Row],[TgtAmount]] * (MAX(Table1[RSXFS]) - MIN(RawData!B:B)) +MIN(Table1[RSXFS])</f>
        <v>330301</v>
      </c>
      <c r="L194" s="15">
        <f>Table3[[#This Row],[Prediction]] * (MAX(Table1[RSXFS]) - MIN(RawData!B:B)) +MIN(Table1[RSXFS])</f>
        <v>313804.93038125325</v>
      </c>
      <c r="M194" s="14"/>
    </row>
    <row r="195" spans="1:13" x14ac:dyDescent="0.25">
      <c r="A195">
        <f>NormData!A201</f>
        <v>0.48894091055860511</v>
      </c>
      <c r="B195">
        <f>NormData!B195</f>
        <v>0.3770649874750821</v>
      </c>
      <c r="C195">
        <f>NormData!B196</f>
        <v>0.37833168905724113</v>
      </c>
      <c r="D195">
        <f>NormData!B197</f>
        <v>0.37740602251643263</v>
      </c>
      <c r="E195">
        <f>NormData!B198</f>
        <v>0.38359946246381577</v>
      </c>
      <c r="F195">
        <f>NormData!B199</f>
        <v>0.38497172251115469</v>
      </c>
      <c r="G195">
        <f>NormData!B200</f>
        <v>0.38200187569272742</v>
      </c>
      <c r="H195" s="14">
        <f>NormData!B201</f>
        <v>0.37590181438761883</v>
      </c>
      <c r="I195" s="24">
        <v>0.3489869421500863</v>
      </c>
      <c r="J195" s="22">
        <v>39479</v>
      </c>
      <c r="K195" s="16">
        <f>Table3[[#This Row],[TgtAmount]] * (MAX(Table1[RSXFS]) - MIN(RawData!B:B)) +MIN(Table1[RSXFS])</f>
        <v>327296</v>
      </c>
      <c r="L195" s="15">
        <f>Table3[[#This Row],[Prediction]] * (MAX(Table1[RSXFS]) - MIN(RawData!B:B)) +MIN(Table1[RSXFS])</f>
        <v>314037.24946809118</v>
      </c>
      <c r="M195" s="14"/>
    </row>
    <row r="196" spans="1:13" x14ac:dyDescent="0.25">
      <c r="A196">
        <f>NormData!A202</f>
        <v>0.49144333225702291</v>
      </c>
      <c r="B196">
        <f>NormData!B196</f>
        <v>0.37833168905724113</v>
      </c>
      <c r="C196">
        <f>NormData!B197</f>
        <v>0.37740602251643263</v>
      </c>
      <c r="D196">
        <f>NormData!B198</f>
        <v>0.38359946246381577</v>
      </c>
      <c r="E196">
        <f>NormData!B199</f>
        <v>0.38497172251115469</v>
      </c>
      <c r="F196">
        <f>NormData!B200</f>
        <v>0.38200187569272742</v>
      </c>
      <c r="G196">
        <f>NormData!B201</f>
        <v>0.37590181438761883</v>
      </c>
      <c r="H196" s="14">
        <f>NormData!B202</f>
        <v>0.3642741434539542</v>
      </c>
      <c r="I196" s="24">
        <v>0.34430721659267371</v>
      </c>
      <c r="J196" s="22">
        <v>39508</v>
      </c>
      <c r="K196" s="16">
        <f>Table3[[#This Row],[TgtAmount]] * (MAX(Table1[RSXFS]) - MIN(RawData!B:B)) +MIN(Table1[RSXFS])</f>
        <v>321568</v>
      </c>
      <c r="L196" s="15">
        <f>Table3[[#This Row],[Prediction]] * (MAX(Table1[RSXFS]) - MIN(RawData!B:B)) +MIN(Table1[RSXFS])</f>
        <v>311731.9324234497</v>
      </c>
      <c r="M196" s="14"/>
    </row>
    <row r="197" spans="1:13" x14ac:dyDescent="0.25">
      <c r="A197">
        <f>NormData!A203</f>
        <v>0.49386503067484661</v>
      </c>
      <c r="B197">
        <f>NormData!B197</f>
        <v>0.37740602251643263</v>
      </c>
      <c r="C197">
        <f>NormData!B198</f>
        <v>0.38359946246381577</v>
      </c>
      <c r="D197">
        <f>NormData!B199</f>
        <v>0.38497172251115469</v>
      </c>
      <c r="E197">
        <f>NormData!B200</f>
        <v>0.38200187569272742</v>
      </c>
      <c r="F197">
        <f>NormData!B201</f>
        <v>0.37590181438761883</v>
      </c>
      <c r="G197">
        <f>NormData!B202</f>
        <v>0.3642741434539542</v>
      </c>
      <c r="H197" s="14">
        <f>NormData!B203</f>
        <v>0.33869651535266676</v>
      </c>
      <c r="I197" s="24">
        <v>0.33516864902208132</v>
      </c>
      <c r="J197" s="22">
        <v>39539</v>
      </c>
      <c r="K197" s="16">
        <f>Table3[[#This Row],[TgtAmount]] * (MAX(Table1[RSXFS]) - MIN(RawData!B:B)) +MIN(Table1[RSXFS])</f>
        <v>308968</v>
      </c>
      <c r="L197" s="15">
        <f>Table3[[#This Row],[Prediction]] * (MAX(Table1[RSXFS]) - MIN(RawData!B:B)) +MIN(Table1[RSXFS])</f>
        <v>307230.10954395967</v>
      </c>
      <c r="M197" s="14"/>
    </row>
    <row r="198" spans="1:13" x14ac:dyDescent="0.25">
      <c r="A198">
        <f>NormData!A204</f>
        <v>0.49636745237326446</v>
      </c>
      <c r="B198">
        <f>NormData!B198</f>
        <v>0.38359946246381577</v>
      </c>
      <c r="C198">
        <f>NormData!B199</f>
        <v>0.38497172251115469</v>
      </c>
      <c r="D198">
        <f>NormData!B200</f>
        <v>0.38200187569272742</v>
      </c>
      <c r="E198">
        <f>NormData!B201</f>
        <v>0.37590181438761883</v>
      </c>
      <c r="F198">
        <f>NormData!B202</f>
        <v>0.3642741434539542</v>
      </c>
      <c r="G198">
        <f>NormData!B203</f>
        <v>0.33869651535266676</v>
      </c>
      <c r="H198" s="14">
        <f>NormData!B204</f>
        <v>0.31114575594070865</v>
      </c>
      <c r="I198" s="24">
        <v>0.31442325541798682</v>
      </c>
      <c r="J198" s="22">
        <v>39569</v>
      </c>
      <c r="K198" s="16">
        <f>Table3[[#This Row],[TgtAmount]] * (MAX(Table1[RSXFS]) - MIN(RawData!B:B)) +MIN(Table1[RSXFS])</f>
        <v>295396</v>
      </c>
      <c r="L198" s="15">
        <f>Table3[[#This Row],[Prediction]] * (MAX(Table1[RSXFS]) - MIN(RawData!B:B)) +MIN(Table1[RSXFS])</f>
        <v>297010.55523749784</v>
      </c>
      <c r="M198" s="14"/>
    </row>
    <row r="199" spans="1:13" x14ac:dyDescent="0.25">
      <c r="A199">
        <f>NormData!A205</f>
        <v>0.49878915079108815</v>
      </c>
      <c r="B199">
        <f>NormData!B199</f>
        <v>0.38497172251115469</v>
      </c>
      <c r="C199">
        <f>NormData!B200</f>
        <v>0.38200187569272742</v>
      </c>
      <c r="D199">
        <f>NormData!B201</f>
        <v>0.37590181438761883</v>
      </c>
      <c r="E199">
        <f>NormData!B202</f>
        <v>0.3642741434539542</v>
      </c>
      <c r="F199">
        <f>NormData!B203</f>
        <v>0.33869651535266676</v>
      </c>
      <c r="G199">
        <f>NormData!B204</f>
        <v>0.31114575594070865</v>
      </c>
      <c r="H199" s="14">
        <f>NormData!B205</f>
        <v>0.29526123690161543</v>
      </c>
      <c r="I199" s="24">
        <v>0.29414738054164208</v>
      </c>
      <c r="J199" s="22">
        <v>39600</v>
      </c>
      <c r="K199" s="16">
        <f>Table3[[#This Row],[TgtAmount]] * (MAX(Table1[RSXFS]) - MIN(RawData!B:B)) +MIN(Table1[RSXFS])</f>
        <v>287571</v>
      </c>
      <c r="L199" s="15">
        <f>Table3[[#This Row],[Prediction]] * (MAX(Table1[RSXFS]) - MIN(RawData!B:B)) +MIN(Table1[RSXFS])</f>
        <v>287022.29430766264</v>
      </c>
      <c r="M199" s="14"/>
    </row>
    <row r="200" spans="1:13" x14ac:dyDescent="0.25">
      <c r="A200">
        <f>NormData!A206</f>
        <v>0.50129157248950595</v>
      </c>
      <c r="B200">
        <f>NormData!B200</f>
        <v>0.38200187569272742</v>
      </c>
      <c r="C200">
        <f>NormData!B201</f>
        <v>0.37590181438761883</v>
      </c>
      <c r="D200">
        <f>NormData!B202</f>
        <v>0.3642741434539542</v>
      </c>
      <c r="E200">
        <f>NormData!B203</f>
        <v>0.33869651535266676</v>
      </c>
      <c r="F200">
        <f>NormData!B204</f>
        <v>0.31114575594070865</v>
      </c>
      <c r="G200">
        <f>NormData!B205</f>
        <v>0.29526123690161543</v>
      </c>
      <c r="H200" s="14">
        <f>NormData!B206</f>
        <v>0.30516343292368531</v>
      </c>
      <c r="I200" s="24">
        <v>0.2820539547784166</v>
      </c>
      <c r="J200" s="22">
        <v>39630</v>
      </c>
      <c r="K200" s="16">
        <f>Table3[[#This Row],[TgtAmount]] * (MAX(Table1[RSXFS]) - MIN(RawData!B:B)) +MIN(Table1[RSXFS])</f>
        <v>292449</v>
      </c>
      <c r="L200" s="15">
        <f>Table3[[#This Row],[Prediction]] * (MAX(Table1[RSXFS]) - MIN(RawData!B:B)) +MIN(Table1[RSXFS])</f>
        <v>281064.855095034</v>
      </c>
      <c r="M200" s="14"/>
    </row>
    <row r="201" spans="1:13" x14ac:dyDescent="0.25">
      <c r="A201">
        <f>NormData!A207</f>
        <v>0.50379399418792381</v>
      </c>
      <c r="B201">
        <f>NormData!B201</f>
        <v>0.37590181438761883</v>
      </c>
      <c r="C201">
        <f>NormData!B202</f>
        <v>0.3642741434539542</v>
      </c>
      <c r="D201">
        <f>NormData!B203</f>
        <v>0.33869651535266676</v>
      </c>
      <c r="E201">
        <f>NormData!B204</f>
        <v>0.31114575594070865</v>
      </c>
      <c r="F201">
        <f>NormData!B205</f>
        <v>0.29526123690161543</v>
      </c>
      <c r="G201">
        <f>NormData!B206</f>
        <v>0.30516343292368531</v>
      </c>
      <c r="H201" s="14">
        <f>NormData!B207</f>
        <v>0.30309286302977156</v>
      </c>
      <c r="I201" s="24">
        <v>0.28949644097569088</v>
      </c>
      <c r="J201" s="22">
        <v>39661</v>
      </c>
      <c r="K201" s="16">
        <f>Table3[[#This Row],[TgtAmount]] * (MAX(Table1[RSXFS]) - MIN(RawData!B:B)) +MIN(Table1[RSXFS])</f>
        <v>291429</v>
      </c>
      <c r="L201" s="15">
        <f>Table3[[#This Row],[Prediction]] * (MAX(Table1[RSXFS]) - MIN(RawData!B:B)) +MIN(Table1[RSXFS])</f>
        <v>284731.1577605629</v>
      </c>
      <c r="M201" s="14"/>
    </row>
    <row r="202" spans="1:13" x14ac:dyDescent="0.25">
      <c r="A202">
        <f>NormData!A208</f>
        <v>0.50605424604455929</v>
      </c>
      <c r="B202">
        <f>NormData!B202</f>
        <v>0.3642741434539542</v>
      </c>
      <c r="C202">
        <f>NormData!B203</f>
        <v>0.33869651535266676</v>
      </c>
      <c r="D202">
        <f>NormData!B204</f>
        <v>0.31114575594070865</v>
      </c>
      <c r="E202">
        <f>NormData!B205</f>
        <v>0.29526123690161543</v>
      </c>
      <c r="F202">
        <f>NormData!B206</f>
        <v>0.30516343292368531</v>
      </c>
      <c r="G202">
        <f>NormData!B207</f>
        <v>0.30309286302977156</v>
      </c>
      <c r="H202" s="14">
        <f>NormData!B208</f>
        <v>0.29211681262154449</v>
      </c>
      <c r="I202" s="24">
        <v>0.2910487252700093</v>
      </c>
      <c r="J202" s="22">
        <v>39692</v>
      </c>
      <c r="K202" s="16">
        <f>Table3[[#This Row],[TgtAmount]] * (MAX(Table1[RSXFS]) - MIN(RawData!B:B)) +MIN(Table1[RSXFS])</f>
        <v>286022</v>
      </c>
      <c r="L202" s="15">
        <f>Table3[[#This Row],[Prediction]] * (MAX(Table1[RSXFS]) - MIN(RawData!B:B)) +MIN(Table1[RSXFS])</f>
        <v>285495.84094506141</v>
      </c>
      <c r="M202" s="14"/>
    </row>
    <row r="203" spans="1:13" x14ac:dyDescent="0.25">
      <c r="A203">
        <f>NormData!A209</f>
        <v>0.50855666774297703</v>
      </c>
      <c r="B203">
        <f>NormData!B203</f>
        <v>0.33869651535266676</v>
      </c>
      <c r="C203">
        <f>NormData!B204</f>
        <v>0.31114575594070865</v>
      </c>
      <c r="D203">
        <f>NormData!B205</f>
        <v>0.29526123690161543</v>
      </c>
      <c r="E203">
        <f>NormData!B206</f>
        <v>0.30516343292368531</v>
      </c>
      <c r="F203">
        <f>NormData!B207</f>
        <v>0.30309286302977156</v>
      </c>
      <c r="G203">
        <f>NormData!B208</f>
        <v>0.29211681262154449</v>
      </c>
      <c r="H203" s="14">
        <f>NormData!B209</f>
        <v>0.29517800811176204</v>
      </c>
      <c r="I203" s="24">
        <v>0.28935746364755527</v>
      </c>
      <c r="J203" s="22">
        <v>39722</v>
      </c>
      <c r="K203" s="16">
        <f>Table3[[#This Row],[TgtAmount]] * (MAX(Table1[RSXFS]) - MIN(RawData!B:B)) +MIN(Table1[RSXFS])</f>
        <v>287530</v>
      </c>
      <c r="L203" s="15">
        <f>Table3[[#This Row],[Prediction]] * (MAX(Table1[RSXFS]) - MIN(RawData!B:B)) +MIN(Table1[RSXFS])</f>
        <v>284662.69502713135</v>
      </c>
      <c r="M203" s="14"/>
    </row>
    <row r="204" spans="1:13" x14ac:dyDescent="0.25">
      <c r="A204">
        <f>NormData!A210</f>
        <v>0.51097836616080072</v>
      </c>
      <c r="B204">
        <f>NormData!B204</f>
        <v>0.31114575594070865</v>
      </c>
      <c r="C204">
        <f>NormData!B205</f>
        <v>0.29526123690161543</v>
      </c>
      <c r="D204">
        <f>NormData!B206</f>
        <v>0.30516343292368531</v>
      </c>
      <c r="E204">
        <f>NormData!B207</f>
        <v>0.30309286302977156</v>
      </c>
      <c r="F204">
        <f>NormData!B208</f>
        <v>0.29211681262154449</v>
      </c>
      <c r="G204">
        <f>NormData!B209</f>
        <v>0.29517800811176204</v>
      </c>
      <c r="H204" s="14">
        <f>NormData!B210</f>
        <v>0.30062847886191735</v>
      </c>
      <c r="I204" s="24">
        <v>0.29531633298701526</v>
      </c>
      <c r="J204" s="22">
        <v>39753</v>
      </c>
      <c r="K204" s="16">
        <f>Table3[[#This Row],[TgtAmount]] * (MAX(Table1[RSXFS]) - MIN(RawData!B:B)) +MIN(Table1[RSXFS])</f>
        <v>290215</v>
      </c>
      <c r="L204" s="15">
        <f>Table3[[#This Row],[Prediction]] * (MAX(Table1[RSXFS]) - MIN(RawData!B:B)) +MIN(Table1[RSXFS])</f>
        <v>287598.14132339752</v>
      </c>
      <c r="M204" s="14"/>
    </row>
    <row r="205" spans="1:13" x14ac:dyDescent="0.25">
      <c r="A205">
        <f>NormData!A211</f>
        <v>0.51348078785921858</v>
      </c>
      <c r="B205">
        <f>NormData!B205</f>
        <v>0.29526123690161543</v>
      </c>
      <c r="C205">
        <f>NormData!B206</f>
        <v>0.30516343292368531</v>
      </c>
      <c r="D205">
        <f>NormData!B207</f>
        <v>0.30309286302977156</v>
      </c>
      <c r="E205">
        <f>NormData!B208</f>
        <v>0.29211681262154449</v>
      </c>
      <c r="F205">
        <f>NormData!B209</f>
        <v>0.29517800811176204</v>
      </c>
      <c r="G205">
        <f>NormData!B210</f>
        <v>0.30062847886191735</v>
      </c>
      <c r="H205" s="14">
        <f>NormData!B211</f>
        <v>0.31127161411073084</v>
      </c>
      <c r="I205" s="24">
        <v>0.30065517723682539</v>
      </c>
      <c r="J205" s="22">
        <v>39783</v>
      </c>
      <c r="K205" s="16">
        <f>Table3[[#This Row],[TgtAmount]] * (MAX(Table1[RSXFS]) - MIN(RawData!B:B)) +MIN(Table1[RSXFS])</f>
        <v>295458</v>
      </c>
      <c r="L205" s="15">
        <f>Table3[[#This Row],[Prediction]] * (MAX(Table1[RSXFS]) - MIN(RawData!B:B)) +MIN(Table1[RSXFS])</f>
        <v>290228.15210005047</v>
      </c>
      <c r="M205" s="14"/>
    </row>
    <row r="206" spans="1:13" x14ac:dyDescent="0.25">
      <c r="A206">
        <f>NormData!A212</f>
        <v>0.51590248627704227</v>
      </c>
      <c r="B206">
        <f>NormData!B206</f>
        <v>0.30516343292368531</v>
      </c>
      <c r="C206">
        <f>NormData!B207</f>
        <v>0.30309286302977156</v>
      </c>
      <c r="D206">
        <f>NormData!B208</f>
        <v>0.29211681262154449</v>
      </c>
      <c r="E206">
        <f>NormData!B209</f>
        <v>0.29517800811176204</v>
      </c>
      <c r="F206">
        <f>NormData!B210</f>
        <v>0.30062847886191735</v>
      </c>
      <c r="G206">
        <f>NormData!B211</f>
        <v>0.31127161411073084</v>
      </c>
      <c r="H206" s="14">
        <f>NormData!B212</f>
        <v>0.31425567072254768</v>
      </c>
      <c r="I206" s="24">
        <v>0.30956745059682272</v>
      </c>
      <c r="J206" s="22">
        <v>39814</v>
      </c>
      <c r="K206" s="16">
        <f>Table3[[#This Row],[TgtAmount]] * (MAX(Table1[RSXFS]) - MIN(RawData!B:B)) +MIN(Table1[RSXFS])</f>
        <v>296928</v>
      </c>
      <c r="L206" s="15">
        <f>Table3[[#This Row],[Prediction]] * (MAX(Table1[RSXFS]) - MIN(RawData!B:B)) +MIN(Table1[RSXFS])</f>
        <v>294618.49837810558</v>
      </c>
      <c r="M206" s="14"/>
    </row>
    <row r="207" spans="1:13" x14ac:dyDescent="0.25">
      <c r="A207">
        <f>NormData!A213</f>
        <v>0.51840490797546013</v>
      </c>
      <c r="B207">
        <f>NormData!B207</f>
        <v>0.30309286302977156</v>
      </c>
      <c r="C207">
        <f>NormData!B208</f>
        <v>0.29211681262154449</v>
      </c>
      <c r="D207">
        <f>NormData!B209</f>
        <v>0.29517800811176204</v>
      </c>
      <c r="E207">
        <f>NormData!B210</f>
        <v>0.30062847886191735</v>
      </c>
      <c r="F207">
        <f>NormData!B211</f>
        <v>0.31127161411073084</v>
      </c>
      <c r="G207">
        <f>NormData!B212</f>
        <v>0.31425567072254768</v>
      </c>
      <c r="H207" s="14">
        <f>NormData!B213</f>
        <v>0.32631978531032158</v>
      </c>
      <c r="I207" s="24">
        <v>0.31566356972427673</v>
      </c>
      <c r="J207" s="22">
        <v>39845</v>
      </c>
      <c r="K207" s="16">
        <f>Table3[[#This Row],[TgtAmount]] * (MAX(Table1[RSXFS]) - MIN(RawData!B:B)) +MIN(Table1[RSXFS])</f>
        <v>302871</v>
      </c>
      <c r="L207" s="15">
        <f>Table3[[#This Row],[Prediction]] * (MAX(Table1[RSXFS]) - MIN(RawData!B:B)) +MIN(Table1[RSXFS])</f>
        <v>297621.55639043375</v>
      </c>
      <c r="M207" s="14"/>
    </row>
    <row r="208" spans="1:13" x14ac:dyDescent="0.25">
      <c r="A208">
        <f>NormData!A214</f>
        <v>0.52090732967387798</v>
      </c>
      <c r="B208">
        <f>NormData!B208</f>
        <v>0.29211681262154449</v>
      </c>
      <c r="C208">
        <f>NormData!B209</f>
        <v>0.29517800811176204</v>
      </c>
      <c r="D208">
        <f>NormData!B210</f>
        <v>0.30062847886191735</v>
      </c>
      <c r="E208">
        <f>NormData!B211</f>
        <v>0.31127161411073084</v>
      </c>
      <c r="F208">
        <f>NormData!B212</f>
        <v>0.31425567072254768</v>
      </c>
      <c r="G208">
        <f>NormData!B213</f>
        <v>0.32631978531032158</v>
      </c>
      <c r="H208" s="14">
        <f>NormData!B214</f>
        <v>0.3092233738921436</v>
      </c>
      <c r="I208" s="24">
        <v>0.33110361593767329</v>
      </c>
      <c r="J208" s="22">
        <v>39873</v>
      </c>
      <c r="K208" s="16">
        <f>Table3[[#This Row],[TgtAmount]] * (MAX(Table1[RSXFS]) - MIN(RawData!B:B)) +MIN(Table1[RSXFS])</f>
        <v>294449</v>
      </c>
      <c r="L208" s="15">
        <f>Table3[[#This Row],[Prediction]] * (MAX(Table1[RSXFS]) - MIN(RawData!B:B)) +MIN(Table1[RSXFS])</f>
        <v>305227.60107598477</v>
      </c>
      <c r="M208" s="14"/>
    </row>
    <row r="209" spans="1:13" x14ac:dyDescent="0.25">
      <c r="A209">
        <f>NormData!A215</f>
        <v>0.52332902809170168</v>
      </c>
      <c r="B209">
        <f>NormData!B209</f>
        <v>0.29517800811176204</v>
      </c>
      <c r="C209">
        <f>NormData!B210</f>
        <v>0.30062847886191735</v>
      </c>
      <c r="D209">
        <f>NormData!B211</f>
        <v>0.31127161411073084</v>
      </c>
      <c r="E209">
        <f>NormData!B212</f>
        <v>0.31425567072254768</v>
      </c>
      <c r="F209">
        <f>NormData!B213</f>
        <v>0.32631978531032158</v>
      </c>
      <c r="G209">
        <f>NormData!B214</f>
        <v>0.3092233738921436</v>
      </c>
      <c r="H209" s="14">
        <f>NormData!B215</f>
        <v>0.31656780710408472</v>
      </c>
      <c r="I209" s="24">
        <v>0.31913816615585727</v>
      </c>
      <c r="J209" s="22">
        <v>39904</v>
      </c>
      <c r="K209" s="16">
        <f>Table3[[#This Row],[TgtAmount]] * (MAX(Table1[RSXFS]) - MIN(RawData!B:B)) +MIN(Table1[RSXFS])</f>
        <v>298067</v>
      </c>
      <c r="L209" s="15">
        <f>Table3[[#This Row],[Prediction]] * (MAX(Table1[RSXFS]) - MIN(RawData!B:B)) +MIN(Table1[RSXFS])</f>
        <v>299333.20513536606</v>
      </c>
      <c r="M209" s="14"/>
    </row>
    <row r="210" spans="1:13" x14ac:dyDescent="0.25">
      <c r="A210">
        <f>NormData!A216</f>
        <v>0.52583144979011942</v>
      </c>
      <c r="B210">
        <f>NormData!B210</f>
        <v>0.30062847886191735</v>
      </c>
      <c r="C210">
        <f>NormData!B211</f>
        <v>0.31127161411073084</v>
      </c>
      <c r="D210">
        <f>NormData!B212</f>
        <v>0.31425567072254768</v>
      </c>
      <c r="E210">
        <f>NormData!B213</f>
        <v>0.32631978531032158</v>
      </c>
      <c r="F210">
        <f>NormData!B214</f>
        <v>0.3092233738921436</v>
      </c>
      <c r="G210">
        <f>NormData!B215</f>
        <v>0.31656780710408472</v>
      </c>
      <c r="H210" s="14">
        <f>NormData!B216</f>
        <v>0.32167521284240524</v>
      </c>
      <c r="I210" s="24">
        <v>0.32530395533789974</v>
      </c>
      <c r="J210" s="22">
        <v>39934</v>
      </c>
      <c r="K210" s="16">
        <f>Table3[[#This Row],[TgtAmount]] * (MAX(Table1[RSXFS]) - MIN(RawData!B:B)) +MIN(Table1[RSXFS])</f>
        <v>300583</v>
      </c>
      <c r="L210" s="15">
        <f>Table3[[#This Row],[Prediction]] * (MAX(Table1[RSXFS]) - MIN(RawData!B:B)) +MIN(Table1[RSXFS])</f>
        <v>302370.5838706455</v>
      </c>
      <c r="M210" s="14"/>
    </row>
    <row r="211" spans="1:13" x14ac:dyDescent="0.25">
      <c r="A211">
        <f>NormData!A217</f>
        <v>0.52825314820794322</v>
      </c>
      <c r="B211">
        <f>NormData!B211</f>
        <v>0.31127161411073084</v>
      </c>
      <c r="C211">
        <f>NormData!B212</f>
        <v>0.31425567072254768</v>
      </c>
      <c r="D211">
        <f>NormData!B213</f>
        <v>0.32631978531032158</v>
      </c>
      <c r="E211">
        <f>NormData!B214</f>
        <v>0.3092233738921436</v>
      </c>
      <c r="F211">
        <f>NormData!B215</f>
        <v>0.31656780710408472</v>
      </c>
      <c r="G211">
        <f>NormData!B216</f>
        <v>0.32167521284240524</v>
      </c>
      <c r="H211" s="14">
        <f>NormData!B217</f>
        <v>0.32446845222870457</v>
      </c>
      <c r="I211" s="24">
        <v>0.32643930240479963</v>
      </c>
      <c r="J211" s="22">
        <v>39965</v>
      </c>
      <c r="K211" s="16">
        <f>Table3[[#This Row],[TgtAmount]] * (MAX(Table1[RSXFS]) - MIN(RawData!B:B)) +MIN(Table1[RSXFS])</f>
        <v>301959</v>
      </c>
      <c r="L211" s="15">
        <f>Table3[[#This Row],[Prediction]] * (MAX(Table1[RSXFS]) - MIN(RawData!B:B)) +MIN(Table1[RSXFS])</f>
        <v>302929.87627204758</v>
      </c>
      <c r="M211" s="14"/>
    </row>
    <row r="212" spans="1:13" x14ac:dyDescent="0.25">
      <c r="A212">
        <f>NormData!A218</f>
        <v>0.53075556990636097</v>
      </c>
      <c r="B212">
        <f>NormData!B212</f>
        <v>0.31425567072254768</v>
      </c>
      <c r="C212">
        <f>NormData!B213</f>
        <v>0.32631978531032158</v>
      </c>
      <c r="D212">
        <f>NormData!B214</f>
        <v>0.3092233738921436</v>
      </c>
      <c r="E212">
        <f>NormData!B215</f>
        <v>0.31656780710408472</v>
      </c>
      <c r="F212">
        <f>NormData!B216</f>
        <v>0.32167521284240524</v>
      </c>
      <c r="G212">
        <f>NormData!B217</f>
        <v>0.32446845222870457</v>
      </c>
      <c r="H212" s="14">
        <f>NormData!B218</f>
        <v>0.32521142142593246</v>
      </c>
      <c r="I212" s="24">
        <v>0.33009467427277206</v>
      </c>
      <c r="J212" s="22">
        <v>39995</v>
      </c>
      <c r="K212" s="16">
        <f>Table3[[#This Row],[TgtAmount]] * (MAX(Table1[RSXFS]) - MIN(RawData!B:B)) +MIN(Table1[RSXFS])</f>
        <v>302325</v>
      </c>
      <c r="L212" s="15">
        <f>Table3[[#This Row],[Prediction]] * (MAX(Table1[RSXFS]) - MIN(RawData!B:B)) +MIN(Table1[RSXFS])</f>
        <v>304730.57825090445</v>
      </c>
      <c r="M212" s="14"/>
    </row>
    <row r="213" spans="1:13" x14ac:dyDescent="0.25">
      <c r="A213">
        <f>NormData!A219</f>
        <v>0.53325799160477882</v>
      </c>
      <c r="B213">
        <f>NormData!B213</f>
        <v>0.32631978531032158</v>
      </c>
      <c r="C213">
        <f>NormData!B214</f>
        <v>0.3092233738921436</v>
      </c>
      <c r="D213">
        <f>NormData!B215</f>
        <v>0.31656780710408472</v>
      </c>
      <c r="E213">
        <f>NormData!B216</f>
        <v>0.32167521284240524</v>
      </c>
      <c r="F213">
        <f>NormData!B217</f>
        <v>0.32446845222870457</v>
      </c>
      <c r="G213">
        <f>NormData!B218</f>
        <v>0.32521142142593246</v>
      </c>
      <c r="H213" s="14">
        <f>NormData!B219</f>
        <v>0.32518097186866901</v>
      </c>
      <c r="I213" s="24">
        <v>0.33117357289376997</v>
      </c>
      <c r="J213" s="22">
        <v>40026</v>
      </c>
      <c r="K213" s="16">
        <f>Table3[[#This Row],[TgtAmount]] * (MAX(Table1[RSXFS]) - MIN(RawData!B:B)) +MIN(Table1[RSXFS])</f>
        <v>302310</v>
      </c>
      <c r="L213" s="15">
        <f>Table3[[#This Row],[Prediction]] * (MAX(Table1[RSXFS]) - MIN(RawData!B:B)) +MIN(Table1[RSXFS])</f>
        <v>305262.06313178316</v>
      </c>
      <c r="M213" s="14"/>
    </row>
    <row r="214" spans="1:13" x14ac:dyDescent="0.25">
      <c r="A214">
        <f>NormData!A220</f>
        <v>0.5355182434614143</v>
      </c>
      <c r="B214">
        <f>NormData!B214</f>
        <v>0.3092233738921436</v>
      </c>
      <c r="C214">
        <f>NormData!B215</f>
        <v>0.31656780710408472</v>
      </c>
      <c r="D214">
        <f>NormData!B216</f>
        <v>0.32167521284240524</v>
      </c>
      <c r="E214">
        <f>NormData!B217</f>
        <v>0.32446845222870457</v>
      </c>
      <c r="F214">
        <f>NormData!B218</f>
        <v>0.32521142142593246</v>
      </c>
      <c r="G214">
        <f>NormData!B219</f>
        <v>0.32518097186866901</v>
      </c>
      <c r="H214" s="14">
        <f>NormData!B220</f>
        <v>0.33982720891238244</v>
      </c>
      <c r="I214" s="24">
        <v>0.33510799078614417</v>
      </c>
      <c r="J214" s="22">
        <v>40057</v>
      </c>
      <c r="K214" s="16">
        <f>Table3[[#This Row],[TgtAmount]] * (MAX(Table1[RSXFS]) - MIN(RawData!B:B)) +MIN(Table1[RSXFS])</f>
        <v>309525</v>
      </c>
      <c r="L214" s="15">
        <f>Table3[[#This Row],[Prediction]] * (MAX(Table1[RSXFS]) - MIN(RawData!B:B)) +MIN(Table1[RSXFS])</f>
        <v>307200.22820508876</v>
      </c>
      <c r="M214" s="14"/>
    </row>
    <row r="215" spans="1:13" x14ac:dyDescent="0.25">
      <c r="A215">
        <f>NormData!A221</f>
        <v>0.53802066515983205</v>
      </c>
      <c r="B215">
        <f>NormData!B215</f>
        <v>0.31656780710408472</v>
      </c>
      <c r="C215">
        <f>NormData!B216</f>
        <v>0.32167521284240524</v>
      </c>
      <c r="D215">
        <f>NormData!B217</f>
        <v>0.32446845222870457</v>
      </c>
      <c r="E215">
        <f>NormData!B218</f>
        <v>0.32521142142593246</v>
      </c>
      <c r="F215">
        <f>NormData!B219</f>
        <v>0.32518097186866901</v>
      </c>
      <c r="G215">
        <f>NormData!B220</f>
        <v>0.33982720891238244</v>
      </c>
      <c r="H215" s="14">
        <f>NormData!B221</f>
        <v>0.34514167164009435</v>
      </c>
      <c r="I215" s="24">
        <v>0.34703551356623419</v>
      </c>
      <c r="J215" s="22">
        <v>40087</v>
      </c>
      <c r="K215" s="16">
        <f>Table3[[#This Row],[TgtAmount]] * (MAX(Table1[RSXFS]) - MIN(RawData!B:B)) +MIN(Table1[RSXFS])</f>
        <v>312143</v>
      </c>
      <c r="L215" s="15">
        <f>Table3[[#This Row],[Prediction]] * (MAX(Table1[RSXFS]) - MIN(RawData!B:B)) +MIN(Table1[RSXFS])</f>
        <v>313075.94062197115</v>
      </c>
      <c r="M215" s="14"/>
    </row>
    <row r="216" spans="1:13" x14ac:dyDescent="0.25">
      <c r="A216">
        <f>NormData!A222</f>
        <v>0.54044236357765585</v>
      </c>
      <c r="B216">
        <f>NormData!B216</f>
        <v>0.32167521284240524</v>
      </c>
      <c r="C216">
        <f>NormData!B217</f>
        <v>0.32446845222870457</v>
      </c>
      <c r="D216">
        <f>NormData!B218</f>
        <v>0.32521142142593246</v>
      </c>
      <c r="E216">
        <f>NormData!B219</f>
        <v>0.32518097186866901</v>
      </c>
      <c r="F216">
        <f>NormData!B220</f>
        <v>0.33982720891238244</v>
      </c>
      <c r="G216">
        <f>NormData!B221</f>
        <v>0.34514167164009435</v>
      </c>
      <c r="H216" s="14">
        <f>NormData!B222</f>
        <v>0.33908220974467029</v>
      </c>
      <c r="I216" s="24">
        <v>0.35256494198216792</v>
      </c>
      <c r="J216" s="22">
        <v>40118</v>
      </c>
      <c r="K216" s="16">
        <f>Table3[[#This Row],[TgtAmount]] * (MAX(Table1[RSXFS]) - MIN(RawData!B:B)) +MIN(Table1[RSXFS])</f>
        <v>309158</v>
      </c>
      <c r="L216" s="15">
        <f>Table3[[#This Row],[Prediction]] * (MAX(Table1[RSXFS]) - MIN(RawData!B:B)) +MIN(Table1[RSXFS])</f>
        <v>315799.83658937161</v>
      </c>
      <c r="M216" s="14"/>
    </row>
    <row r="217" spans="1:13" x14ac:dyDescent="0.25">
      <c r="A217">
        <f>NormData!A223</f>
        <v>0.54294478527607359</v>
      </c>
      <c r="B217">
        <f>NormData!B217</f>
        <v>0.32446845222870457</v>
      </c>
      <c r="C217">
        <f>NormData!B218</f>
        <v>0.32521142142593246</v>
      </c>
      <c r="D217">
        <f>NormData!B219</f>
        <v>0.32518097186866901</v>
      </c>
      <c r="E217">
        <f>NormData!B220</f>
        <v>0.33982720891238244</v>
      </c>
      <c r="F217">
        <f>NormData!B221</f>
        <v>0.34514167164009435</v>
      </c>
      <c r="G217">
        <f>NormData!B222</f>
        <v>0.33908220974467029</v>
      </c>
      <c r="H217" s="14">
        <f>NormData!B223</f>
        <v>0.3379251265686597</v>
      </c>
      <c r="I217" s="24">
        <v>0.3504138095826258</v>
      </c>
      <c r="J217" s="22">
        <v>40148</v>
      </c>
      <c r="K217" s="16">
        <f>Table3[[#This Row],[TgtAmount]] * (MAX(Table1[RSXFS]) - MIN(RawData!B:B)) +MIN(Table1[RSXFS])</f>
        <v>308588</v>
      </c>
      <c r="L217" s="15">
        <f>Table3[[#This Row],[Prediction]] * (MAX(Table1[RSXFS]) - MIN(RawData!B:B)) +MIN(Table1[RSXFS])</f>
        <v>314740.15004897397</v>
      </c>
      <c r="M217" s="14"/>
    </row>
    <row r="218" spans="1:13" x14ac:dyDescent="0.25">
      <c r="A218">
        <f>NormData!A224</f>
        <v>0.54536648369389729</v>
      </c>
      <c r="B218">
        <f>NormData!B218</f>
        <v>0.32521142142593246</v>
      </c>
      <c r="C218">
        <f>NormData!B219</f>
        <v>0.32518097186866901</v>
      </c>
      <c r="D218">
        <f>NormData!B220</f>
        <v>0.33982720891238244</v>
      </c>
      <c r="E218">
        <f>NormData!B221</f>
        <v>0.34514167164009435</v>
      </c>
      <c r="F218">
        <f>NormData!B222</f>
        <v>0.33908220974467029</v>
      </c>
      <c r="G218">
        <f>NormData!B223</f>
        <v>0.3379251265686597</v>
      </c>
      <c r="H218" s="14">
        <f>NormData!B224</f>
        <v>0.33986374838109856</v>
      </c>
      <c r="I218" s="24">
        <v>0.35044709138171803</v>
      </c>
      <c r="J218" s="22">
        <v>40179</v>
      </c>
      <c r="K218" s="16">
        <f>Table3[[#This Row],[TgtAmount]] * (MAX(Table1[RSXFS]) - MIN(RawData!B:B)) +MIN(Table1[RSXFS])</f>
        <v>309543</v>
      </c>
      <c r="L218" s="15">
        <f>Table3[[#This Row],[Prediction]] * (MAX(Table1[RSXFS]) - MIN(RawData!B:B)) +MIN(Table1[RSXFS])</f>
        <v>314756.54526227916</v>
      </c>
      <c r="M218" s="14"/>
    </row>
    <row r="219" spans="1:13" x14ac:dyDescent="0.25">
      <c r="A219">
        <f>NormData!A225</f>
        <v>0.54786890539231514</v>
      </c>
      <c r="B219">
        <f>NormData!B219</f>
        <v>0.32518097186866901</v>
      </c>
      <c r="C219">
        <f>NormData!B220</f>
        <v>0.33982720891238244</v>
      </c>
      <c r="D219">
        <f>NormData!B221</f>
        <v>0.34514167164009435</v>
      </c>
      <c r="E219">
        <f>NormData!B222</f>
        <v>0.33908220974467029</v>
      </c>
      <c r="F219">
        <f>NormData!B223</f>
        <v>0.3379251265686597</v>
      </c>
      <c r="G219">
        <f>NormData!B224</f>
        <v>0.33986374838109856</v>
      </c>
      <c r="H219" s="14">
        <f>NormData!B225</f>
        <v>0.34233625243088966</v>
      </c>
      <c r="I219" s="24">
        <v>0.35109964329366972</v>
      </c>
      <c r="J219" s="22">
        <v>40210</v>
      </c>
      <c r="K219" s="16">
        <f>Table3[[#This Row],[TgtAmount]] * (MAX(Table1[RSXFS]) - MIN(RawData!B:B)) +MIN(Table1[RSXFS])</f>
        <v>310761</v>
      </c>
      <c r="L219" s="15">
        <f>Table3[[#This Row],[Prediction]] * (MAX(Table1[RSXFS]) - MIN(RawData!B:B)) +MIN(Table1[RSXFS])</f>
        <v>315078.00408004096</v>
      </c>
      <c r="M219" s="14"/>
    </row>
    <row r="220" spans="1:13" x14ac:dyDescent="0.25">
      <c r="A220">
        <f>NormData!A226</f>
        <v>0.550371327090733</v>
      </c>
      <c r="B220">
        <f>NormData!B220</f>
        <v>0.33982720891238244</v>
      </c>
      <c r="C220">
        <f>NormData!B221</f>
        <v>0.34514167164009435</v>
      </c>
      <c r="D220">
        <f>NormData!B222</f>
        <v>0.33908220974467029</v>
      </c>
      <c r="E220">
        <f>NormData!B223</f>
        <v>0.3379251265686597</v>
      </c>
      <c r="F220">
        <f>NormData!B224</f>
        <v>0.33986374838109856</v>
      </c>
      <c r="G220">
        <f>NormData!B225</f>
        <v>0.34233625243088966</v>
      </c>
      <c r="H220" s="14">
        <f>NormData!B226</f>
        <v>0.34847488317519865</v>
      </c>
      <c r="I220" s="24">
        <v>0.35086555509633394</v>
      </c>
      <c r="J220" s="22">
        <v>40238</v>
      </c>
      <c r="K220" s="16">
        <f>Table3[[#This Row],[TgtAmount]] * (MAX(Table1[RSXFS]) - MIN(RawData!B:B)) +MIN(Table1[RSXFS])</f>
        <v>313785</v>
      </c>
      <c r="L220" s="15">
        <f>Table3[[#This Row],[Prediction]] * (MAX(Table1[RSXFS]) - MIN(RawData!B:B)) +MIN(Table1[RSXFS])</f>
        <v>314962.68802044587</v>
      </c>
      <c r="M220" s="14"/>
    </row>
    <row r="221" spans="1:13" x14ac:dyDescent="0.25">
      <c r="A221">
        <f>NormData!A227</f>
        <v>0.55279302550855669</v>
      </c>
      <c r="B221">
        <f>NormData!B221</f>
        <v>0.34514167164009435</v>
      </c>
      <c r="C221">
        <f>NormData!B222</f>
        <v>0.33908220974467029</v>
      </c>
      <c r="D221">
        <f>NormData!B223</f>
        <v>0.3379251265686597</v>
      </c>
      <c r="E221">
        <f>NormData!B224</f>
        <v>0.33986374838109856</v>
      </c>
      <c r="F221">
        <f>NormData!B225</f>
        <v>0.34233625243088966</v>
      </c>
      <c r="G221">
        <f>NormData!B226</f>
        <v>0.34847488317519865</v>
      </c>
      <c r="H221" s="14">
        <f>NormData!B227</f>
        <v>0.35642018765047156</v>
      </c>
      <c r="I221" s="24">
        <v>0.35662740501234796</v>
      </c>
      <c r="J221" s="22">
        <v>40269</v>
      </c>
      <c r="K221" s="16">
        <f>Table3[[#This Row],[TgtAmount]] * (MAX(Table1[RSXFS]) - MIN(RawData!B:B)) +MIN(Table1[RSXFS])</f>
        <v>317699</v>
      </c>
      <c r="L221" s="15">
        <f>Table3[[#This Row],[Prediction]] * (MAX(Table1[RSXFS]) - MIN(RawData!B:B)) +MIN(Table1[RSXFS])</f>
        <v>317801.0790023728</v>
      </c>
      <c r="M221" s="14"/>
    </row>
    <row r="222" spans="1:13" x14ac:dyDescent="0.25">
      <c r="A222">
        <f>NormData!A228</f>
        <v>0.55529544720697455</v>
      </c>
      <c r="B222">
        <f>NormData!B222</f>
        <v>0.33908220974467029</v>
      </c>
      <c r="C222">
        <f>NormData!B223</f>
        <v>0.3379251265686597</v>
      </c>
      <c r="D222">
        <f>NormData!B224</f>
        <v>0.33986374838109856</v>
      </c>
      <c r="E222">
        <f>NormData!B225</f>
        <v>0.34233625243088966</v>
      </c>
      <c r="F222">
        <f>NormData!B226</f>
        <v>0.34847488317519865</v>
      </c>
      <c r="G222">
        <f>NormData!B227</f>
        <v>0.35642018765047156</v>
      </c>
      <c r="H222" s="14">
        <f>NormData!B228</f>
        <v>0.36250197922122213</v>
      </c>
      <c r="I222" s="24">
        <v>0.36611122383187311</v>
      </c>
      <c r="J222" s="22">
        <v>40299</v>
      </c>
      <c r="K222" s="16">
        <f>Table3[[#This Row],[TgtAmount]] * (MAX(Table1[RSXFS]) - MIN(RawData!B:B)) +MIN(Table1[RSXFS])</f>
        <v>320695</v>
      </c>
      <c r="L222" s="15">
        <f>Table3[[#This Row],[Prediction]] * (MAX(Table1[RSXFS]) - MIN(RawData!B:B)) +MIN(Table1[RSXFS])</f>
        <v>322472.97886160971</v>
      </c>
      <c r="M222" s="14"/>
    </row>
    <row r="223" spans="1:13" x14ac:dyDescent="0.25">
      <c r="A223">
        <f>NormData!A229</f>
        <v>0.55771714562479824</v>
      </c>
      <c r="B223">
        <f>NormData!B223</f>
        <v>0.3379251265686597</v>
      </c>
      <c r="C223">
        <f>NormData!B224</f>
        <v>0.33986374838109856</v>
      </c>
      <c r="D223">
        <f>NormData!B225</f>
        <v>0.34233625243088966</v>
      </c>
      <c r="E223">
        <f>NormData!B226</f>
        <v>0.34847488317519865</v>
      </c>
      <c r="F223">
        <f>NormData!B227</f>
        <v>0.35642018765047156</v>
      </c>
      <c r="G223">
        <f>NormData!B228</f>
        <v>0.36250197922122213</v>
      </c>
      <c r="H223" s="14">
        <f>NormData!B229</f>
        <v>0.36803567876123083</v>
      </c>
      <c r="I223" s="24">
        <v>0.37340464881107649</v>
      </c>
      <c r="J223" s="22">
        <v>40330</v>
      </c>
      <c r="K223" s="16">
        <f>Table3[[#This Row],[TgtAmount]] * (MAX(Table1[RSXFS]) - MIN(RawData!B:B)) +MIN(Table1[RSXFS])</f>
        <v>323421</v>
      </c>
      <c r="L223" s="15">
        <f>Table3[[#This Row],[Prediction]] * (MAX(Table1[RSXFS]) - MIN(RawData!B:B)) +MIN(Table1[RSXFS])</f>
        <v>326065.85128801491</v>
      </c>
      <c r="M223" s="14"/>
    </row>
    <row r="224" spans="1:13" x14ac:dyDescent="0.25">
      <c r="A224">
        <f>NormData!A230</f>
        <v>0.56021956732321598</v>
      </c>
      <c r="B224">
        <f>NormData!B224</f>
        <v>0.33986374838109856</v>
      </c>
      <c r="C224">
        <f>NormData!B225</f>
        <v>0.34233625243088966</v>
      </c>
      <c r="D224">
        <f>NormData!B226</f>
        <v>0.34847488317519865</v>
      </c>
      <c r="E224">
        <f>NormData!B227</f>
        <v>0.35642018765047156</v>
      </c>
      <c r="F224">
        <f>NormData!B228</f>
        <v>0.36250197922122213</v>
      </c>
      <c r="G224">
        <f>NormData!B229</f>
        <v>0.36803567876123083</v>
      </c>
      <c r="H224" s="14">
        <f>NormData!B230</f>
        <v>0.37260920226219912</v>
      </c>
      <c r="I224" s="24">
        <v>0.37953192903567373</v>
      </c>
      <c r="J224" s="22">
        <v>40360</v>
      </c>
      <c r="K224" s="16">
        <f>Table3[[#This Row],[TgtAmount]] * (MAX(Table1[RSXFS]) - MIN(RawData!B:B)) +MIN(Table1[RSXFS])</f>
        <v>325674</v>
      </c>
      <c r="L224" s="15">
        <f>Table3[[#This Row],[Prediction]] * (MAX(Table1[RSXFS]) - MIN(RawData!B:B)) +MIN(Table1[RSXFS])</f>
        <v>329084.25981769554</v>
      </c>
      <c r="M224" s="14"/>
    </row>
    <row r="225" spans="1:13" x14ac:dyDescent="0.25">
      <c r="A225">
        <f>NormData!A231</f>
        <v>0.56272198902163384</v>
      </c>
      <c r="B225">
        <f>NormData!B225</f>
        <v>0.34233625243088966</v>
      </c>
      <c r="C225">
        <f>NormData!B226</f>
        <v>0.34847488317519865</v>
      </c>
      <c r="D225">
        <f>NormData!B227</f>
        <v>0.35642018765047156</v>
      </c>
      <c r="E225">
        <f>NormData!B228</f>
        <v>0.36250197922122213</v>
      </c>
      <c r="F225">
        <f>NormData!B229</f>
        <v>0.36803567876123083</v>
      </c>
      <c r="G225">
        <f>NormData!B230</f>
        <v>0.37260920226219912</v>
      </c>
      <c r="H225" s="14">
        <f>NormData!B231</f>
        <v>0.37743038216224334</v>
      </c>
      <c r="I225" s="24">
        <v>0.38392592257312502</v>
      </c>
      <c r="J225" s="22">
        <v>40391</v>
      </c>
      <c r="K225" s="16">
        <f>Table3[[#This Row],[TgtAmount]] * (MAX(Table1[RSXFS]) - MIN(RawData!B:B)) +MIN(Table1[RSXFS])</f>
        <v>328049</v>
      </c>
      <c r="L225" s="15">
        <f>Table3[[#This Row],[Prediction]] * (MAX(Table1[RSXFS]) - MIN(RawData!B:B)) +MIN(Table1[RSXFS])</f>
        <v>331248.82012612768</v>
      </c>
      <c r="M225" s="14"/>
    </row>
    <row r="226" spans="1:13" x14ac:dyDescent="0.25">
      <c r="A226">
        <f>NormData!A232</f>
        <v>0.56498224087826932</v>
      </c>
      <c r="B226">
        <f>NormData!B226</f>
        <v>0.34847488317519865</v>
      </c>
      <c r="C226">
        <f>NormData!B227</f>
        <v>0.35642018765047156</v>
      </c>
      <c r="D226">
        <f>NormData!B228</f>
        <v>0.36250197922122213</v>
      </c>
      <c r="E226">
        <f>NormData!B229</f>
        <v>0.36803567876123083</v>
      </c>
      <c r="F226">
        <f>NormData!B230</f>
        <v>0.37260920226219912</v>
      </c>
      <c r="G226">
        <f>NormData!B231</f>
        <v>0.37743038216224334</v>
      </c>
      <c r="H226" s="14">
        <f>NormData!B232</f>
        <v>0.38374765030916452</v>
      </c>
      <c r="I226" s="24">
        <v>0.38716707699581093</v>
      </c>
      <c r="J226" s="22">
        <v>40422</v>
      </c>
      <c r="K226" s="16">
        <f>Table3[[#This Row],[TgtAmount]] * (MAX(Table1[RSXFS]) - MIN(RawData!B:B)) +MIN(Table1[RSXFS])</f>
        <v>331161</v>
      </c>
      <c r="L226" s="15">
        <f>Table3[[#This Row],[Prediction]] * (MAX(Table1[RSXFS]) - MIN(RawData!B:B)) +MIN(Table1[RSXFS])</f>
        <v>332845.47113552236</v>
      </c>
      <c r="M226" s="14"/>
    </row>
    <row r="227" spans="1:13" x14ac:dyDescent="0.25">
      <c r="A227">
        <f>NormData!A233</f>
        <v>0.56748466257668717</v>
      </c>
      <c r="B227">
        <f>NormData!B227</f>
        <v>0.35642018765047156</v>
      </c>
      <c r="C227">
        <f>NormData!B228</f>
        <v>0.36250197922122213</v>
      </c>
      <c r="D227">
        <f>NormData!B229</f>
        <v>0.36803567876123083</v>
      </c>
      <c r="E227">
        <f>NormData!B230</f>
        <v>0.37260920226219912</v>
      </c>
      <c r="F227">
        <f>NormData!B231</f>
        <v>0.37743038216224334</v>
      </c>
      <c r="G227">
        <f>NormData!B232</f>
        <v>0.38374765030916452</v>
      </c>
      <c r="H227" s="14">
        <f>NormData!B233</f>
        <v>0.38786443045118124</v>
      </c>
      <c r="I227" s="24">
        <v>0.3911686558094396</v>
      </c>
      <c r="J227" s="22">
        <v>40452</v>
      </c>
      <c r="K227" s="16">
        <f>Table3[[#This Row],[TgtAmount]] * (MAX(Table1[RSXFS]) - MIN(RawData!B:B)) +MIN(Table1[RSXFS])</f>
        <v>333189</v>
      </c>
      <c r="L227" s="15">
        <f>Table3[[#This Row],[Prediction]] * (MAX(Table1[RSXFS]) - MIN(RawData!B:B)) +MIN(Table1[RSXFS])</f>
        <v>334816.72088753455</v>
      </c>
      <c r="M227" s="14"/>
    </row>
    <row r="228" spans="1:13" x14ac:dyDescent="0.25">
      <c r="A228">
        <f>NormData!A234</f>
        <v>0.56990636099451086</v>
      </c>
      <c r="B228">
        <f>NormData!B228</f>
        <v>0.36250197922122213</v>
      </c>
      <c r="C228">
        <f>NormData!B229</f>
        <v>0.36803567876123083</v>
      </c>
      <c r="D228">
        <f>NormData!B230</f>
        <v>0.37260920226219912</v>
      </c>
      <c r="E228">
        <f>NormData!B231</f>
        <v>0.37743038216224334</v>
      </c>
      <c r="F228">
        <f>NormData!B232</f>
        <v>0.38374765030916452</v>
      </c>
      <c r="G228">
        <f>NormData!B233</f>
        <v>0.38786443045118124</v>
      </c>
      <c r="H228" s="14">
        <f>NormData!B234</f>
        <v>0.38628105347348252</v>
      </c>
      <c r="I228" s="24">
        <v>0.39366401227093645</v>
      </c>
      <c r="J228" s="22">
        <v>40483</v>
      </c>
      <c r="K228" s="16">
        <f>Table3[[#This Row],[TgtAmount]] * (MAX(Table1[RSXFS]) - MIN(RawData!B:B)) +MIN(Table1[RSXFS])</f>
        <v>332409</v>
      </c>
      <c r="L228" s="15">
        <f>Table3[[#This Row],[Prediction]] * (MAX(Table1[RSXFS]) - MIN(RawData!B:B)) +MIN(Table1[RSXFS])</f>
        <v>336045.97839688417</v>
      </c>
      <c r="M228" s="14"/>
    </row>
    <row r="229" spans="1:13" x14ac:dyDescent="0.25">
      <c r="A229">
        <f>NormData!A235</f>
        <v>0.57240878269292861</v>
      </c>
      <c r="B229">
        <f>NormData!B229</f>
        <v>0.36803567876123083</v>
      </c>
      <c r="C229">
        <f>NormData!B230</f>
        <v>0.37260920226219912</v>
      </c>
      <c r="D229">
        <f>NormData!B231</f>
        <v>0.37743038216224334</v>
      </c>
      <c r="E229">
        <f>NormData!B232</f>
        <v>0.38374765030916452</v>
      </c>
      <c r="F229">
        <f>NormData!B233</f>
        <v>0.38786443045118124</v>
      </c>
      <c r="G229">
        <f>NormData!B234</f>
        <v>0.38628105347348252</v>
      </c>
      <c r="H229" s="14">
        <f>NormData!B235</f>
        <v>0.39175994381041701</v>
      </c>
      <c r="I229" s="24">
        <v>0.39171873893354137</v>
      </c>
      <c r="J229" s="22">
        <v>40513</v>
      </c>
      <c r="K229" s="16">
        <f>Table3[[#This Row],[TgtAmount]] * (MAX(Table1[RSXFS]) - MIN(RawData!B:B)) +MIN(Table1[RSXFS])</f>
        <v>335108</v>
      </c>
      <c r="L229" s="15">
        <f>Table3[[#This Row],[Prediction]] * (MAX(Table1[RSXFS]) - MIN(RawData!B:B)) +MIN(Table1[RSXFS])</f>
        <v>335087.70173596329</v>
      </c>
      <c r="M229" s="14"/>
    </row>
    <row r="230" spans="1:13" x14ac:dyDescent="0.25">
      <c r="A230">
        <f>NormData!A236</f>
        <v>0.5748304811107523</v>
      </c>
      <c r="B230">
        <f>NormData!B230</f>
        <v>0.37260920226219912</v>
      </c>
      <c r="C230">
        <f>NormData!B231</f>
        <v>0.37743038216224334</v>
      </c>
      <c r="D230">
        <f>NormData!B232</f>
        <v>0.38374765030916452</v>
      </c>
      <c r="E230">
        <f>NormData!B233</f>
        <v>0.38786443045118124</v>
      </c>
      <c r="F230">
        <f>NormData!B234</f>
        <v>0.38628105347348252</v>
      </c>
      <c r="G230">
        <f>NormData!B235</f>
        <v>0.39175994381041701</v>
      </c>
      <c r="H230" s="14">
        <f>NormData!B236</f>
        <v>0.39138236930035036</v>
      </c>
      <c r="I230" s="24">
        <v>0.39539879592947408</v>
      </c>
      <c r="J230" s="22">
        <v>40544</v>
      </c>
      <c r="K230" s="16">
        <f>Table3[[#This Row],[TgtAmount]] * (MAX(Table1[RSXFS]) - MIN(RawData!B:B)) +MIN(Table1[RSXFS])</f>
        <v>334922</v>
      </c>
      <c r="L230" s="15">
        <f>Table3[[#This Row],[Prediction]] * (MAX(Table1[RSXFS]) - MIN(RawData!B:B)) +MIN(Table1[RSXFS])</f>
        <v>336900.56405318563</v>
      </c>
      <c r="M230" s="14"/>
    </row>
    <row r="231" spans="1:13" x14ac:dyDescent="0.25">
      <c r="A231">
        <f>NormData!A237</f>
        <v>0.57733290280917016</v>
      </c>
      <c r="B231">
        <f>NormData!B231</f>
        <v>0.37743038216224334</v>
      </c>
      <c r="C231">
        <f>NormData!B232</f>
        <v>0.38374765030916452</v>
      </c>
      <c r="D231">
        <f>NormData!B233</f>
        <v>0.38786443045118124</v>
      </c>
      <c r="E231">
        <f>NormData!B234</f>
        <v>0.38628105347348252</v>
      </c>
      <c r="F231">
        <f>NormData!B235</f>
        <v>0.39175994381041701</v>
      </c>
      <c r="G231">
        <f>NormData!B236</f>
        <v>0.39138236930035036</v>
      </c>
      <c r="H231" s="14">
        <f>NormData!B237</f>
        <v>0.39187159218704959</v>
      </c>
      <c r="I231" s="24">
        <v>0.39365959408292556</v>
      </c>
      <c r="J231" s="22">
        <v>40575</v>
      </c>
      <c r="K231" s="16">
        <f>Table3[[#This Row],[TgtAmount]] * (MAX(Table1[RSXFS]) - MIN(RawData!B:B)) +MIN(Table1[RSXFS])</f>
        <v>335163</v>
      </c>
      <c r="L231" s="15">
        <f>Table3[[#This Row],[Prediction]] * (MAX(Table1[RSXFS]) - MIN(RawData!B:B)) +MIN(Table1[RSXFS])</f>
        <v>336043.80191794259</v>
      </c>
      <c r="M231" s="14"/>
    </row>
    <row r="232" spans="1:13" x14ac:dyDescent="0.25">
      <c r="A232">
        <f>NormData!A238</f>
        <v>0.57983532450758801</v>
      </c>
      <c r="B232">
        <f>NormData!B232</f>
        <v>0.38374765030916452</v>
      </c>
      <c r="C232">
        <f>NormData!B233</f>
        <v>0.38786443045118124</v>
      </c>
      <c r="D232">
        <f>NormData!B234</f>
        <v>0.38628105347348252</v>
      </c>
      <c r="E232">
        <f>NormData!B235</f>
        <v>0.39175994381041701</v>
      </c>
      <c r="F232">
        <f>NormData!B236</f>
        <v>0.39138236930035036</v>
      </c>
      <c r="G232">
        <f>NormData!B237</f>
        <v>0.39187159218704959</v>
      </c>
      <c r="H232" s="14">
        <f>NormData!B238</f>
        <v>0.39968291861036342</v>
      </c>
      <c r="I232" s="24">
        <v>0.39358790564153778</v>
      </c>
      <c r="J232" s="22">
        <v>40603</v>
      </c>
      <c r="K232" s="16">
        <f>Table3[[#This Row],[TgtAmount]] * (MAX(Table1[RSXFS]) - MIN(RawData!B:B)) +MIN(Table1[RSXFS])</f>
        <v>339011</v>
      </c>
      <c r="L232" s="15">
        <f>Table3[[#This Row],[Prediction]] * (MAX(Table1[RSXFS]) - MIN(RawData!B:B)) +MIN(Table1[RSXFS])</f>
        <v>336008.48690132308</v>
      </c>
      <c r="M232" s="14"/>
    </row>
    <row r="233" spans="1:13" x14ac:dyDescent="0.25">
      <c r="A233">
        <f>NormData!A239</f>
        <v>0.5822570229254117</v>
      </c>
      <c r="B233">
        <f>NormData!B233</f>
        <v>0.38786443045118124</v>
      </c>
      <c r="C233">
        <f>NormData!B234</f>
        <v>0.38628105347348252</v>
      </c>
      <c r="D233">
        <f>NormData!B235</f>
        <v>0.39175994381041701</v>
      </c>
      <c r="E233">
        <f>NormData!B236</f>
        <v>0.39138236930035036</v>
      </c>
      <c r="F233">
        <f>NormData!B237</f>
        <v>0.39187159218704959</v>
      </c>
      <c r="G233">
        <f>NormData!B238</f>
        <v>0.39968291861036342</v>
      </c>
      <c r="H233" s="14">
        <f>NormData!B239</f>
        <v>0.40383826819158047</v>
      </c>
      <c r="I233" s="24">
        <v>0.39982805071452865</v>
      </c>
      <c r="J233" s="22">
        <v>40634</v>
      </c>
      <c r="K233" s="16">
        <f>Table3[[#This Row],[TgtAmount]] * (MAX(Table1[RSXFS]) - MIN(RawData!B:B)) +MIN(Table1[RSXFS])</f>
        <v>341058</v>
      </c>
      <c r="L233" s="15">
        <f>Table3[[#This Row],[Prediction]] * (MAX(Table1[RSXFS]) - MIN(RawData!B:B)) +MIN(Table1[RSXFS])</f>
        <v>339082.4946868897</v>
      </c>
      <c r="M233" s="14"/>
    </row>
    <row r="234" spans="1:13" x14ac:dyDescent="0.25">
      <c r="A234">
        <f>NormData!A240</f>
        <v>0.58475944462382956</v>
      </c>
      <c r="B234">
        <f>NormData!B234</f>
        <v>0.38628105347348252</v>
      </c>
      <c r="C234">
        <f>NormData!B235</f>
        <v>0.39175994381041701</v>
      </c>
      <c r="D234">
        <f>NormData!B236</f>
        <v>0.39138236930035036</v>
      </c>
      <c r="E234">
        <f>NormData!B237</f>
        <v>0.39187159218704959</v>
      </c>
      <c r="F234">
        <f>NormData!B238</f>
        <v>0.39968291861036342</v>
      </c>
      <c r="G234">
        <f>NormData!B239</f>
        <v>0.40383826819158047</v>
      </c>
      <c r="H234" s="14">
        <f>NormData!B240</f>
        <v>0.40618491407134938</v>
      </c>
      <c r="I234" s="24">
        <v>0.40390969903420837</v>
      </c>
      <c r="J234" s="22">
        <v>40664</v>
      </c>
      <c r="K234" s="16">
        <f>Table3[[#This Row],[TgtAmount]] * (MAX(Table1[RSXFS]) - MIN(RawData!B:B)) +MIN(Table1[RSXFS])</f>
        <v>342214</v>
      </c>
      <c r="L234" s="15">
        <f>Table3[[#This Row],[Prediction]] * (MAX(Table1[RSXFS]) - MIN(RawData!B:B)) +MIN(Table1[RSXFS])</f>
        <v>341093.1881188337</v>
      </c>
      <c r="M234" s="14"/>
    </row>
    <row r="235" spans="1:13" x14ac:dyDescent="0.25">
      <c r="A235">
        <f>NormData!A241</f>
        <v>0.58718114304165325</v>
      </c>
      <c r="B235">
        <f>NormData!B235</f>
        <v>0.39175994381041701</v>
      </c>
      <c r="C235">
        <f>NormData!B236</f>
        <v>0.39138236930035036</v>
      </c>
      <c r="D235">
        <f>NormData!B237</f>
        <v>0.39187159218704959</v>
      </c>
      <c r="E235">
        <f>NormData!B238</f>
        <v>0.39968291861036342</v>
      </c>
      <c r="F235">
        <f>NormData!B239</f>
        <v>0.40383826819158047</v>
      </c>
      <c r="G235">
        <f>NormData!B240</f>
        <v>0.40618491407134938</v>
      </c>
      <c r="H235" s="14">
        <f>NormData!B241</f>
        <v>0.40796925812698681</v>
      </c>
      <c r="I235" s="24">
        <v>0.40590966842016529</v>
      </c>
      <c r="J235" s="22">
        <v>40695</v>
      </c>
      <c r="K235" s="16">
        <f>Table3[[#This Row],[TgtAmount]] * (MAX(Table1[RSXFS]) - MIN(RawData!B:B)) +MIN(Table1[RSXFS])</f>
        <v>343093</v>
      </c>
      <c r="L235" s="15">
        <f>Table3[[#This Row],[Prediction]] * (MAX(Table1[RSXFS]) - MIN(RawData!B:B)) +MIN(Table1[RSXFS])</f>
        <v>342078.40903780499</v>
      </c>
      <c r="M235" s="14"/>
    </row>
    <row r="236" spans="1:13" x14ac:dyDescent="0.25">
      <c r="A236">
        <f>NormData!A242</f>
        <v>0.589683564740071</v>
      </c>
      <c r="B236">
        <f>NormData!B236</f>
        <v>0.39138236930035036</v>
      </c>
      <c r="C236">
        <f>NormData!B237</f>
        <v>0.39187159218704959</v>
      </c>
      <c r="D236">
        <f>NormData!B238</f>
        <v>0.39968291861036342</v>
      </c>
      <c r="E236">
        <f>NormData!B239</f>
        <v>0.40383826819158047</v>
      </c>
      <c r="F236">
        <f>NormData!B240</f>
        <v>0.40618491407134938</v>
      </c>
      <c r="G236">
        <f>NormData!B241</f>
        <v>0.40796925812698681</v>
      </c>
      <c r="H236" s="14">
        <f>NormData!B242</f>
        <v>0.41317207247806614</v>
      </c>
      <c r="I236" s="24">
        <v>0.40808673043122851</v>
      </c>
      <c r="J236" s="22">
        <v>40725</v>
      </c>
      <c r="K236" s="16">
        <f>Table3[[#This Row],[TgtAmount]] * (MAX(Table1[RSXFS]) - MIN(RawData!B:B)) +MIN(Table1[RSXFS])</f>
        <v>345656</v>
      </c>
      <c r="L236" s="15">
        <f>Table3[[#This Row],[Prediction]] * (MAX(Table1[RSXFS]) - MIN(RawData!B:B)) +MIN(Table1[RSXFS])</f>
        <v>343150.86897157092</v>
      </c>
      <c r="M236" s="14"/>
    </row>
    <row r="237" spans="1:13" x14ac:dyDescent="0.25">
      <c r="A237">
        <f>NormData!A243</f>
        <v>0.59218598643848885</v>
      </c>
      <c r="B237">
        <f>NormData!B237</f>
        <v>0.39187159218704959</v>
      </c>
      <c r="C237">
        <f>NormData!B238</f>
        <v>0.39968291861036342</v>
      </c>
      <c r="D237">
        <f>NormData!B239</f>
        <v>0.40383826819158047</v>
      </c>
      <c r="E237">
        <f>NormData!B240</f>
        <v>0.40618491407134938</v>
      </c>
      <c r="F237">
        <f>NormData!B241</f>
        <v>0.40796925812698681</v>
      </c>
      <c r="G237">
        <f>NormData!B242</f>
        <v>0.41317207247806614</v>
      </c>
      <c r="H237" s="14">
        <f>NormData!B243</f>
        <v>0.42269060407861669</v>
      </c>
      <c r="I237" s="24">
        <v>0.41188337269549175</v>
      </c>
      <c r="J237" s="22">
        <v>40756</v>
      </c>
      <c r="K237" s="16">
        <f>Table3[[#This Row],[TgtAmount]] * (MAX(Table1[RSXFS]) - MIN(RawData!B:B)) +MIN(Table1[RSXFS])</f>
        <v>350345</v>
      </c>
      <c r="L237" s="15">
        <f>Table3[[#This Row],[Prediction]] * (MAX(Table1[RSXFS]) - MIN(RawData!B:B)) +MIN(Table1[RSXFS])</f>
        <v>345021.16329050774</v>
      </c>
      <c r="M237" s="14"/>
    </row>
    <row r="238" spans="1:13" x14ac:dyDescent="0.25">
      <c r="A238">
        <f>NormData!A244</f>
        <v>0.59452696157571838</v>
      </c>
      <c r="B238">
        <f>NormData!B238</f>
        <v>0.39968291861036342</v>
      </c>
      <c r="C238">
        <f>NormData!B239</f>
        <v>0.40383826819158047</v>
      </c>
      <c r="D238">
        <f>NormData!B240</f>
        <v>0.40618491407134938</v>
      </c>
      <c r="E238">
        <f>NormData!B241</f>
        <v>0.40796925812698681</v>
      </c>
      <c r="F238">
        <f>NormData!B242</f>
        <v>0.41317207247806614</v>
      </c>
      <c r="G238">
        <f>NormData!B243</f>
        <v>0.42269060407861669</v>
      </c>
      <c r="H238" s="14">
        <f>NormData!B244</f>
        <v>0.42553865266799018</v>
      </c>
      <c r="I238" s="24">
        <v>0.41756854823585848</v>
      </c>
      <c r="J238" s="22">
        <v>40787</v>
      </c>
      <c r="K238" s="16">
        <f>Table3[[#This Row],[TgtAmount]] * (MAX(Table1[RSXFS]) - MIN(RawData!B:B)) +MIN(Table1[RSXFS])</f>
        <v>351748</v>
      </c>
      <c r="L238" s="15">
        <f>Table3[[#This Row],[Prediction]] * (MAX(Table1[RSXFS]) - MIN(RawData!B:B)) +MIN(Table1[RSXFS])</f>
        <v>347821.78309485212</v>
      </c>
      <c r="M238" s="14"/>
    </row>
    <row r="239" spans="1:13" x14ac:dyDescent="0.25">
      <c r="A239">
        <f>NormData!A245</f>
        <v>0.59702938327413624</v>
      </c>
      <c r="B239">
        <f>NormData!B239</f>
        <v>0.40383826819158047</v>
      </c>
      <c r="C239">
        <f>NormData!B240</f>
        <v>0.40618491407134938</v>
      </c>
      <c r="D239">
        <f>NormData!B241</f>
        <v>0.40796925812698681</v>
      </c>
      <c r="E239">
        <f>NormData!B242</f>
        <v>0.41317207247806614</v>
      </c>
      <c r="F239">
        <f>NormData!B243</f>
        <v>0.42269060407861669</v>
      </c>
      <c r="G239">
        <f>NormData!B244</f>
        <v>0.42553865266799018</v>
      </c>
      <c r="H239" s="14">
        <f>NormData!B245</f>
        <v>0.42142593246694193</v>
      </c>
      <c r="I239" s="24">
        <v>0.41911462291607199</v>
      </c>
      <c r="J239" s="22">
        <v>40817</v>
      </c>
      <c r="K239" s="16">
        <f>Table3[[#This Row],[TgtAmount]] * (MAX(Table1[RSXFS]) - MIN(RawData!B:B)) +MIN(Table1[RSXFS])</f>
        <v>349722</v>
      </c>
      <c r="L239" s="15">
        <f>Table3[[#This Row],[Prediction]] * (MAX(Table1[RSXFS]) - MIN(RawData!B:B)) +MIN(Table1[RSXFS])</f>
        <v>348583.40731166955</v>
      </c>
      <c r="M239" s="14"/>
    </row>
    <row r="240" spans="1:13" x14ac:dyDescent="0.25">
      <c r="A240">
        <f>NormData!A246</f>
        <v>0.59945108169195993</v>
      </c>
      <c r="B240">
        <f>NormData!B240</f>
        <v>0.40618491407134938</v>
      </c>
      <c r="C240">
        <f>NormData!B241</f>
        <v>0.40796925812698681</v>
      </c>
      <c r="D240">
        <f>NormData!B242</f>
        <v>0.41317207247806614</v>
      </c>
      <c r="E240">
        <f>NormData!B243</f>
        <v>0.42269060407861669</v>
      </c>
      <c r="F240">
        <f>NormData!B244</f>
        <v>0.42553865266799018</v>
      </c>
      <c r="G240">
        <f>NormData!B245</f>
        <v>0.42142593246694193</v>
      </c>
      <c r="H240" s="14">
        <f>NormData!B246</f>
        <v>0.42009021188831913</v>
      </c>
      <c r="I240" s="24">
        <v>0.41573207578487376</v>
      </c>
      <c r="J240" s="22">
        <v>40848</v>
      </c>
      <c r="K240" s="16">
        <f>Table3[[#This Row],[TgtAmount]] * (MAX(Table1[RSXFS]) - MIN(RawData!B:B)) +MIN(Table1[RSXFS])</f>
        <v>349064</v>
      </c>
      <c r="L240" s="15">
        <f>Table3[[#This Row],[Prediction]] * (MAX(Table1[RSXFS]) - MIN(RawData!B:B)) +MIN(Table1[RSXFS])</f>
        <v>346917.10370899295</v>
      </c>
      <c r="M240" s="14"/>
    </row>
    <row r="241" spans="1:13" x14ac:dyDescent="0.25">
      <c r="A241">
        <f>NormData!A247</f>
        <v>0.60195350339037779</v>
      </c>
      <c r="B241">
        <f>NormData!B241</f>
        <v>0.40796925812698681</v>
      </c>
      <c r="C241">
        <f>NormData!B242</f>
        <v>0.41317207247806614</v>
      </c>
      <c r="D241">
        <f>NormData!B243</f>
        <v>0.42269060407861669</v>
      </c>
      <c r="E241">
        <f>NormData!B244</f>
        <v>0.42553865266799018</v>
      </c>
      <c r="F241">
        <f>NormData!B245</f>
        <v>0.42142593246694193</v>
      </c>
      <c r="G241">
        <f>NormData!B246</f>
        <v>0.42009021188831913</v>
      </c>
      <c r="H241" s="14">
        <f>NormData!B247</f>
        <v>0.41252857183456554</v>
      </c>
      <c r="I241" s="24">
        <v>0.41396018151005731</v>
      </c>
      <c r="J241" s="22">
        <v>40878</v>
      </c>
      <c r="K241" s="16">
        <f>Table3[[#This Row],[TgtAmount]] * (MAX(Table1[RSXFS]) - MIN(RawData!B:B)) +MIN(Table1[RSXFS])</f>
        <v>345339</v>
      </c>
      <c r="L241" s="15">
        <f>Table3[[#This Row],[Prediction]] * (MAX(Table1[RSXFS]) - MIN(RawData!B:B)) +MIN(Table1[RSXFS])</f>
        <v>346044.23669512139</v>
      </c>
      <c r="M241" s="14"/>
    </row>
    <row r="242" spans="1:13" x14ac:dyDescent="0.25">
      <c r="A242">
        <f>NormData!A248</f>
        <v>0.60437520180820148</v>
      </c>
      <c r="B242">
        <f>NormData!B242</f>
        <v>0.41317207247806614</v>
      </c>
      <c r="C242">
        <f>NormData!B243</f>
        <v>0.42269060407861669</v>
      </c>
      <c r="D242">
        <f>NormData!B244</f>
        <v>0.42553865266799018</v>
      </c>
      <c r="E242">
        <f>NormData!B245</f>
        <v>0.42142593246694193</v>
      </c>
      <c r="F242">
        <f>NormData!B246</f>
        <v>0.42009021188831913</v>
      </c>
      <c r="G242">
        <f>NormData!B247</f>
        <v>0.41252857183456554</v>
      </c>
      <c r="H242" s="14">
        <f>NormData!B248</f>
        <v>0.4157704346978795</v>
      </c>
      <c r="I242" s="24">
        <v>0.40584167059309284</v>
      </c>
      <c r="J242" s="22">
        <v>40909</v>
      </c>
      <c r="K242" s="16">
        <f>Table3[[#This Row],[TgtAmount]] * (MAX(Table1[RSXFS]) - MIN(RawData!B:B)) +MIN(Table1[RSXFS])</f>
        <v>346936</v>
      </c>
      <c r="L242" s="15">
        <f>Table3[[#This Row],[Prediction]] * (MAX(Table1[RSXFS]) - MIN(RawData!B:B)) +MIN(Table1[RSXFS])</f>
        <v>342044.91208422824</v>
      </c>
      <c r="M242" s="14"/>
    </row>
    <row r="243" spans="1:13" x14ac:dyDescent="0.25">
      <c r="A243">
        <f>NormData!A249</f>
        <v>0.60687762350661933</v>
      </c>
      <c r="B243">
        <f>NormData!B243</f>
        <v>0.42269060407861669</v>
      </c>
      <c r="C243">
        <f>NormData!B244</f>
        <v>0.42553865266799018</v>
      </c>
      <c r="D243">
        <f>NormData!B245</f>
        <v>0.42142593246694193</v>
      </c>
      <c r="E243">
        <f>NormData!B246</f>
        <v>0.42009021188831913</v>
      </c>
      <c r="F243">
        <f>NormData!B247</f>
        <v>0.41252857183456554</v>
      </c>
      <c r="G243">
        <f>NormData!B248</f>
        <v>0.4157704346978795</v>
      </c>
      <c r="H243" s="14">
        <f>NormData!B249</f>
        <v>0.42560767166445401</v>
      </c>
      <c r="I243" s="24">
        <v>0.40782620169181366</v>
      </c>
      <c r="J243" s="22">
        <v>40940</v>
      </c>
      <c r="K243" s="16">
        <f>Table3[[#This Row],[TgtAmount]] * (MAX(Table1[RSXFS]) - MIN(RawData!B:B)) +MIN(Table1[RSXFS])</f>
        <v>351782</v>
      </c>
      <c r="L243" s="15">
        <f>Table3[[#This Row],[Prediction]] * (MAX(Table1[RSXFS]) - MIN(RawData!B:B)) +MIN(Table1[RSXFS])</f>
        <v>343022.52782501787</v>
      </c>
      <c r="M243" s="14"/>
    </row>
    <row r="244" spans="1:13" x14ac:dyDescent="0.25">
      <c r="A244">
        <f>NormData!A250</f>
        <v>0.60938004520503708</v>
      </c>
      <c r="B244">
        <f>NormData!B244</f>
        <v>0.42553865266799018</v>
      </c>
      <c r="C244">
        <f>NormData!B245</f>
        <v>0.42142593246694193</v>
      </c>
      <c r="D244">
        <f>NormData!B246</f>
        <v>0.42009021188831913</v>
      </c>
      <c r="E244">
        <f>NormData!B247</f>
        <v>0.41252857183456554</v>
      </c>
      <c r="F244">
        <f>NormData!B248</f>
        <v>0.4157704346978795</v>
      </c>
      <c r="G244">
        <f>NormData!B249</f>
        <v>0.42560767166445401</v>
      </c>
      <c r="H244" s="14">
        <f>NormData!B250</f>
        <v>0.43127737922690607</v>
      </c>
      <c r="I244" s="24">
        <v>0.41700199873510435</v>
      </c>
      <c r="J244" s="22">
        <v>40969</v>
      </c>
      <c r="K244" s="16">
        <f>Table3[[#This Row],[TgtAmount]] * (MAX(Table1[RSXFS]) - MIN(RawData!B:B)) +MIN(Table1[RSXFS])</f>
        <v>354575</v>
      </c>
      <c r="L244" s="15">
        <f>Table3[[#This Row],[Prediction]] * (MAX(Table1[RSXFS]) - MIN(RawData!B:B)) +MIN(Table1[RSXFS])</f>
        <v>347542.69061288959</v>
      </c>
      <c r="M244" s="14"/>
    </row>
    <row r="245" spans="1:13" x14ac:dyDescent="0.25">
      <c r="A245">
        <f>NormData!A251</f>
        <v>0.61180174362286088</v>
      </c>
      <c r="B245">
        <f>NormData!B245</f>
        <v>0.42142593246694193</v>
      </c>
      <c r="C245">
        <f>NormData!B246</f>
        <v>0.42009021188831913</v>
      </c>
      <c r="D245">
        <f>NormData!B247</f>
        <v>0.41252857183456554</v>
      </c>
      <c r="E245">
        <f>NormData!B248</f>
        <v>0.4157704346978795</v>
      </c>
      <c r="F245">
        <f>NormData!B249</f>
        <v>0.42560767166445401</v>
      </c>
      <c r="G245">
        <f>NormData!B250</f>
        <v>0.43127737922690607</v>
      </c>
      <c r="H245" s="14">
        <f>NormData!B251</f>
        <v>0.43162653415019347</v>
      </c>
      <c r="I245" s="24">
        <v>0.42477122935567879</v>
      </c>
      <c r="J245" s="22">
        <v>41000</v>
      </c>
      <c r="K245" s="16">
        <f>Table3[[#This Row],[TgtAmount]] * (MAX(Table1[RSXFS]) - MIN(RawData!B:B)) +MIN(Table1[RSXFS])</f>
        <v>354747</v>
      </c>
      <c r="L245" s="15">
        <f>Table3[[#This Row],[Prediction]] * (MAX(Table1[RSXFS]) - MIN(RawData!B:B)) +MIN(Table1[RSXFS])</f>
        <v>351369.95346273575</v>
      </c>
      <c r="M245" s="14"/>
    </row>
    <row r="246" spans="1:13" x14ac:dyDescent="0.25">
      <c r="A246">
        <f>NormData!A252</f>
        <v>0.61430416532127863</v>
      </c>
      <c r="B246">
        <f>NormData!B246</f>
        <v>0.42009021188831913</v>
      </c>
      <c r="C246">
        <f>NormData!B247</f>
        <v>0.41252857183456554</v>
      </c>
      <c r="D246">
        <f>NormData!B248</f>
        <v>0.4157704346978795</v>
      </c>
      <c r="E246">
        <f>NormData!B249</f>
        <v>0.42560767166445401</v>
      </c>
      <c r="F246">
        <f>NormData!B250</f>
        <v>0.43127737922690607</v>
      </c>
      <c r="G246">
        <f>NormData!B251</f>
        <v>0.43162653415019347</v>
      </c>
      <c r="H246" s="14">
        <f>NormData!B252</f>
        <v>0.43449082250344079</v>
      </c>
      <c r="I246" s="24">
        <v>0.42780901158597268</v>
      </c>
      <c r="J246" s="22">
        <v>41030</v>
      </c>
      <c r="K246" s="16">
        <f>Table3[[#This Row],[TgtAmount]] * (MAX(Table1[RSXFS]) - MIN(RawData!B:B)) +MIN(Table1[RSXFS])</f>
        <v>356158</v>
      </c>
      <c r="L246" s="15">
        <f>Table3[[#This Row],[Prediction]] * (MAX(Table1[RSXFS]) - MIN(RawData!B:B)) +MIN(Table1[RSXFS])</f>
        <v>352866.4196694587</v>
      </c>
      <c r="M246" s="14"/>
    </row>
    <row r="247" spans="1:13" x14ac:dyDescent="0.25">
      <c r="A247">
        <f>NormData!A253</f>
        <v>0.61672586373910232</v>
      </c>
      <c r="B247">
        <f>NormData!B247</f>
        <v>0.41252857183456554</v>
      </c>
      <c r="C247">
        <f>NormData!B248</f>
        <v>0.4157704346978795</v>
      </c>
      <c r="D247">
        <f>NormData!B249</f>
        <v>0.42560767166445401</v>
      </c>
      <c r="E247">
        <f>NormData!B250</f>
        <v>0.43127737922690607</v>
      </c>
      <c r="F247">
        <f>NormData!B251</f>
        <v>0.43162653415019347</v>
      </c>
      <c r="G247">
        <f>NormData!B252</f>
        <v>0.43449082250344079</v>
      </c>
      <c r="H247" s="14">
        <f>NormData!B253</f>
        <v>0.43725361233247667</v>
      </c>
      <c r="I247" s="24">
        <v>0.4321001299166714</v>
      </c>
      <c r="J247" s="22">
        <v>41061</v>
      </c>
      <c r="K247" s="16">
        <f>Table3[[#This Row],[TgtAmount]] * (MAX(Table1[RSXFS]) - MIN(RawData!B:B)) +MIN(Table1[RSXFS])</f>
        <v>357519</v>
      </c>
      <c r="L247" s="15">
        <f>Table3[[#This Row],[Prediction]] * (MAX(Table1[RSXFS]) - MIN(RawData!B:B)) +MIN(Table1[RSXFS])</f>
        <v>354980.30179929081</v>
      </c>
      <c r="M247" s="14"/>
    </row>
    <row r="248" spans="1:13" x14ac:dyDescent="0.25">
      <c r="A248">
        <f>NormData!A254</f>
        <v>0.61922828543752018</v>
      </c>
      <c r="B248">
        <f>NormData!B248</f>
        <v>0.4157704346978795</v>
      </c>
      <c r="C248">
        <f>NormData!B249</f>
        <v>0.42560767166445401</v>
      </c>
      <c r="D248">
        <f>NormData!B250</f>
        <v>0.43127737922690607</v>
      </c>
      <c r="E248">
        <f>NormData!B251</f>
        <v>0.43162653415019347</v>
      </c>
      <c r="F248">
        <f>NormData!B252</f>
        <v>0.43449082250344079</v>
      </c>
      <c r="G248">
        <f>NormData!B253</f>
        <v>0.43725361233247667</v>
      </c>
      <c r="H248" s="14">
        <f>NormData!B254</f>
        <v>0.44281167151829615</v>
      </c>
      <c r="I248" s="24">
        <v>0.43222054763654472</v>
      </c>
      <c r="J248" s="22">
        <v>41091</v>
      </c>
      <c r="K248" s="16">
        <f>Table3[[#This Row],[TgtAmount]] * (MAX(Table1[RSXFS]) - MIN(RawData!B:B)) +MIN(Table1[RSXFS])</f>
        <v>360257</v>
      </c>
      <c r="L248" s="15">
        <f>Table3[[#This Row],[Prediction]] * (MAX(Table1[RSXFS]) - MIN(RawData!B:B)) +MIN(Table1[RSXFS])</f>
        <v>355039.62173561938</v>
      </c>
      <c r="M248" s="14"/>
    </row>
    <row r="249" spans="1:13" x14ac:dyDescent="0.25">
      <c r="A249">
        <f>NormData!A255</f>
        <v>0.62173070713593803</v>
      </c>
      <c r="B249">
        <f>NormData!B249</f>
        <v>0.42560767166445401</v>
      </c>
      <c r="C249">
        <f>NormData!B250</f>
        <v>0.43127737922690607</v>
      </c>
      <c r="D249">
        <f>NormData!B251</f>
        <v>0.43162653415019347</v>
      </c>
      <c r="E249">
        <f>NormData!B252</f>
        <v>0.43449082250344079</v>
      </c>
      <c r="F249">
        <f>NormData!B253</f>
        <v>0.43725361233247667</v>
      </c>
      <c r="G249">
        <f>NormData!B254</f>
        <v>0.44281167151829615</v>
      </c>
      <c r="H249" s="14">
        <f>NormData!B255</f>
        <v>0.45290062482491505</v>
      </c>
      <c r="I249" s="24">
        <v>0.4341644672510282</v>
      </c>
      <c r="J249" s="22">
        <v>41122</v>
      </c>
      <c r="K249" s="16">
        <f>Table3[[#This Row],[TgtAmount]] * (MAX(Table1[RSXFS]) - MIN(RawData!B:B)) +MIN(Table1[RSXFS])</f>
        <v>365227</v>
      </c>
      <c r="L249" s="15">
        <f>Table3[[#This Row],[Prediction]] * (MAX(Table1[RSXFS]) - MIN(RawData!B:B)) +MIN(Table1[RSXFS])</f>
        <v>355997.23152826703</v>
      </c>
      <c r="M249" s="14"/>
    </row>
    <row r="250" spans="1:13" x14ac:dyDescent="0.25">
      <c r="A250">
        <f>NormData!A256</f>
        <v>0.62399095899257351</v>
      </c>
      <c r="B250">
        <f>NormData!B250</f>
        <v>0.43127737922690607</v>
      </c>
      <c r="C250">
        <f>NormData!B251</f>
        <v>0.43162653415019347</v>
      </c>
      <c r="D250">
        <f>NormData!B252</f>
        <v>0.43449082250344079</v>
      </c>
      <c r="E250">
        <f>NormData!B253</f>
        <v>0.43725361233247667</v>
      </c>
      <c r="F250">
        <f>NormData!B254</f>
        <v>0.44281167151829615</v>
      </c>
      <c r="G250">
        <f>NormData!B255</f>
        <v>0.45290062482491505</v>
      </c>
      <c r="H250" s="14">
        <f>NormData!B256</f>
        <v>0.44665034570397344</v>
      </c>
      <c r="I250" s="24">
        <v>0.44118797663179682</v>
      </c>
      <c r="J250" s="22">
        <v>41153</v>
      </c>
      <c r="K250" s="16">
        <f>Table3[[#This Row],[TgtAmount]] * (MAX(Table1[RSXFS]) - MIN(RawData!B:B)) +MIN(Table1[RSXFS])</f>
        <v>362148</v>
      </c>
      <c r="L250" s="15">
        <f>Table3[[#This Row],[Prediction]] * (MAX(Table1[RSXFS]) - MIN(RawData!B:B)) +MIN(Table1[RSXFS])</f>
        <v>359457.13867240248</v>
      </c>
      <c r="M250" s="14"/>
    </row>
    <row r="251" spans="1:13" x14ac:dyDescent="0.25">
      <c r="A251">
        <f>NormData!A257</f>
        <v>0.62649338069099125</v>
      </c>
      <c r="B251">
        <f>NormData!B251</f>
        <v>0.43162653415019347</v>
      </c>
      <c r="C251">
        <f>NormData!B252</f>
        <v>0.43449082250344079</v>
      </c>
      <c r="D251">
        <f>NormData!B253</f>
        <v>0.43725361233247667</v>
      </c>
      <c r="E251">
        <f>NormData!B254</f>
        <v>0.44281167151829615</v>
      </c>
      <c r="F251">
        <f>NormData!B255</f>
        <v>0.45290062482491505</v>
      </c>
      <c r="G251">
        <f>NormData!B256</f>
        <v>0.44665034570397344</v>
      </c>
      <c r="H251" s="14">
        <f>NormData!B257</f>
        <v>0.44330292437547958</v>
      </c>
      <c r="I251" s="24">
        <v>0.4358419296556007</v>
      </c>
      <c r="J251" s="22">
        <v>41183</v>
      </c>
      <c r="K251" s="16">
        <f>Table3[[#This Row],[TgtAmount]] * (MAX(Table1[RSXFS]) - MIN(RawData!B:B)) +MIN(Table1[RSXFS])</f>
        <v>360499</v>
      </c>
      <c r="L251" s="15">
        <f>Table3[[#This Row],[Prediction]] * (MAX(Table1[RSXFS]) - MIN(RawData!B:B)) +MIN(Table1[RSXFS])</f>
        <v>356823.57970308268</v>
      </c>
      <c r="M251" s="14"/>
    </row>
    <row r="252" spans="1:13" x14ac:dyDescent="0.25">
      <c r="A252">
        <f>NormData!A258</f>
        <v>0.62891507910881495</v>
      </c>
      <c r="B252">
        <f>NormData!B252</f>
        <v>0.43449082250344079</v>
      </c>
      <c r="C252">
        <f>NormData!B253</f>
        <v>0.43725361233247667</v>
      </c>
      <c r="D252">
        <f>NormData!B254</f>
        <v>0.44281167151829615</v>
      </c>
      <c r="E252">
        <f>NormData!B255</f>
        <v>0.45290062482491505</v>
      </c>
      <c r="F252">
        <f>NormData!B256</f>
        <v>0.44665034570397344</v>
      </c>
      <c r="G252">
        <f>NormData!B257</f>
        <v>0.44330292437547958</v>
      </c>
      <c r="H252" s="14">
        <f>NormData!B258</f>
        <v>0.44805914522002849</v>
      </c>
      <c r="I252" s="24">
        <v>0.43339567969913367</v>
      </c>
      <c r="J252" s="22">
        <v>41214</v>
      </c>
      <c r="K252" s="16">
        <f>Table3[[#This Row],[TgtAmount]] * (MAX(Table1[RSXFS]) - MIN(RawData!B:B)) +MIN(Table1[RSXFS])</f>
        <v>362842</v>
      </c>
      <c r="L252" s="15">
        <f>Table3[[#This Row],[Prediction]] * (MAX(Table1[RSXFS]) - MIN(RawData!B:B)) +MIN(Table1[RSXFS])</f>
        <v>355618.51294202782</v>
      </c>
      <c r="M252" s="14"/>
    </row>
    <row r="253" spans="1:13" x14ac:dyDescent="0.25">
      <c r="A253">
        <f>NormData!A259</f>
        <v>0.6314175008072328</v>
      </c>
      <c r="B253">
        <f>NormData!B253</f>
        <v>0.43725361233247667</v>
      </c>
      <c r="C253">
        <f>NormData!B254</f>
        <v>0.44281167151829615</v>
      </c>
      <c r="D253">
        <f>NormData!B255</f>
        <v>0.45290062482491505</v>
      </c>
      <c r="E253">
        <f>NormData!B256</f>
        <v>0.44665034570397344</v>
      </c>
      <c r="F253">
        <f>NormData!B257</f>
        <v>0.44330292437547958</v>
      </c>
      <c r="G253">
        <f>NormData!B258</f>
        <v>0.44805914522002849</v>
      </c>
      <c r="H253" s="14">
        <f>NormData!B259</f>
        <v>0.45077727569841136</v>
      </c>
      <c r="I253" s="24">
        <v>0.43594122296916404</v>
      </c>
      <c r="J253" s="22">
        <v>41244</v>
      </c>
      <c r="K253" s="16">
        <f>Table3[[#This Row],[TgtAmount]] * (MAX(Table1[RSXFS]) - MIN(RawData!B:B)) +MIN(Table1[RSXFS])</f>
        <v>364181</v>
      </c>
      <c r="L253" s="15">
        <f>Table3[[#This Row],[Prediction]] * (MAX(Table1[RSXFS]) - MIN(RawData!B:B)) +MIN(Table1[RSXFS])</f>
        <v>356872.49337662366</v>
      </c>
      <c r="M253" s="14"/>
    </row>
    <row r="254" spans="1:13" x14ac:dyDescent="0.25">
      <c r="A254">
        <f>NormData!A260</f>
        <v>0.63383919922505649</v>
      </c>
      <c r="B254">
        <f>NormData!B254</f>
        <v>0.44281167151829615</v>
      </c>
      <c r="C254">
        <f>NormData!B255</f>
        <v>0.45290062482491505</v>
      </c>
      <c r="D254">
        <f>NormData!B256</f>
        <v>0.44665034570397344</v>
      </c>
      <c r="E254">
        <f>NormData!B257</f>
        <v>0.44330292437547958</v>
      </c>
      <c r="F254">
        <f>NormData!B258</f>
        <v>0.44805914522002849</v>
      </c>
      <c r="G254">
        <f>NormData!B259</f>
        <v>0.45077727569841136</v>
      </c>
      <c r="H254" s="14">
        <f>NormData!B260</f>
        <v>0.45496307483689186</v>
      </c>
      <c r="I254" s="24">
        <v>0.436527130495247</v>
      </c>
      <c r="J254" s="22">
        <v>41275</v>
      </c>
      <c r="K254" s="16">
        <f>Table3[[#This Row],[TgtAmount]] * (MAX(Table1[RSXFS]) - MIN(RawData!B:B)) +MIN(Table1[RSXFS])</f>
        <v>366243</v>
      </c>
      <c r="L254" s="15">
        <f>Table3[[#This Row],[Prediction]] * (MAX(Table1[RSXFS]) - MIN(RawData!B:B)) +MIN(Table1[RSXFS])</f>
        <v>357161.12197030755</v>
      </c>
      <c r="M254" s="14"/>
    </row>
    <row r="255" spans="1:13" x14ac:dyDescent="0.25">
      <c r="A255">
        <f>NormData!A261</f>
        <v>0.63634162092347435</v>
      </c>
      <c r="B255">
        <f>NormData!B255</f>
        <v>0.45290062482491505</v>
      </c>
      <c r="C255">
        <f>NormData!B256</f>
        <v>0.44665034570397344</v>
      </c>
      <c r="D255">
        <f>NormData!B257</f>
        <v>0.44330292437547958</v>
      </c>
      <c r="E255">
        <f>NormData!B258</f>
        <v>0.44805914522002849</v>
      </c>
      <c r="F255">
        <f>NormData!B259</f>
        <v>0.45077727569841136</v>
      </c>
      <c r="G255">
        <f>NormData!B260</f>
        <v>0.45496307483689186</v>
      </c>
      <c r="H255" s="14">
        <f>NormData!B261</f>
        <v>0.45354209549793145</v>
      </c>
      <c r="I255" s="24">
        <v>0.44022333226949717</v>
      </c>
      <c r="J255" s="22">
        <v>41306</v>
      </c>
      <c r="K255" s="16">
        <f>Table3[[#This Row],[TgtAmount]] * (MAX(Table1[RSXFS]) - MIN(RawData!B:B)) +MIN(Table1[RSXFS])</f>
        <v>365543</v>
      </c>
      <c r="L255" s="15">
        <f>Table3[[#This Row],[Prediction]] * (MAX(Table1[RSXFS]) - MIN(RawData!B:B)) +MIN(Table1[RSXFS])</f>
        <v>358981.93749593513</v>
      </c>
      <c r="M255" s="14"/>
    </row>
    <row r="256" spans="1:13" x14ac:dyDescent="0.25">
      <c r="A256">
        <f>NormData!A262</f>
        <v>0.63884404262189221</v>
      </c>
      <c r="B256">
        <f>NormData!B256</f>
        <v>0.44665034570397344</v>
      </c>
      <c r="C256">
        <f>NormData!B257</f>
        <v>0.44330292437547958</v>
      </c>
      <c r="D256">
        <f>NormData!B258</f>
        <v>0.44805914522002849</v>
      </c>
      <c r="E256">
        <f>NormData!B259</f>
        <v>0.45077727569841136</v>
      </c>
      <c r="F256">
        <f>NormData!B260</f>
        <v>0.45496307483689186</v>
      </c>
      <c r="G256">
        <f>NormData!B261</f>
        <v>0.45354209549793145</v>
      </c>
      <c r="H256" s="14">
        <f>NormData!B262</f>
        <v>0.45379584180846011</v>
      </c>
      <c r="I256" s="24">
        <v>0.44226934149880154</v>
      </c>
      <c r="J256" s="22">
        <v>41334</v>
      </c>
      <c r="K256" s="16">
        <f>Table3[[#This Row],[TgtAmount]] * (MAX(Table1[RSXFS]) - MIN(RawData!B:B)) +MIN(Table1[RSXFS])</f>
        <v>365668</v>
      </c>
      <c r="L256" s="15">
        <f>Table3[[#This Row],[Prediction]] * (MAX(Table1[RSXFS]) - MIN(RawData!B:B)) +MIN(Table1[RSXFS])</f>
        <v>359989.83847045666</v>
      </c>
      <c r="M256" s="14"/>
    </row>
    <row r="257" spans="1:13" x14ac:dyDescent="0.25">
      <c r="A257">
        <f>NormData!A263</f>
        <v>0.6412657410397159</v>
      </c>
      <c r="B257">
        <f>NormData!B257</f>
        <v>0.44330292437547958</v>
      </c>
      <c r="C257">
        <f>NormData!B258</f>
        <v>0.44805914522002849</v>
      </c>
      <c r="D257">
        <f>NormData!B259</f>
        <v>0.45077727569841136</v>
      </c>
      <c r="E257">
        <f>NormData!B260</f>
        <v>0.45496307483689186</v>
      </c>
      <c r="F257">
        <f>NormData!B261</f>
        <v>0.45354209549793145</v>
      </c>
      <c r="G257">
        <f>NormData!B262</f>
        <v>0.45379584180846011</v>
      </c>
      <c r="H257" s="14">
        <f>NormData!B263</f>
        <v>0.45537109890422195</v>
      </c>
      <c r="I257" s="24">
        <v>0.44403465726414232</v>
      </c>
      <c r="J257" s="22">
        <v>41365</v>
      </c>
      <c r="K257" s="16">
        <f>Table3[[#This Row],[TgtAmount]] * (MAX(Table1[RSXFS]) - MIN(RawData!B:B)) +MIN(Table1[RSXFS])</f>
        <v>366444</v>
      </c>
      <c r="L257" s="15">
        <f>Table3[[#This Row],[Prediction]] * (MAX(Table1[RSXFS]) - MIN(RawData!B:B)) +MIN(Table1[RSXFS])</f>
        <v>360859.46479214728</v>
      </c>
      <c r="M257" s="14"/>
    </row>
    <row r="258" spans="1:13" x14ac:dyDescent="0.25">
      <c r="A258">
        <f>NormData!A264</f>
        <v>0.64376816273813364</v>
      </c>
      <c r="B258">
        <f>NormData!B258</f>
        <v>0.44805914522002849</v>
      </c>
      <c r="C258">
        <f>NormData!B259</f>
        <v>0.45077727569841136</v>
      </c>
      <c r="D258">
        <f>NormData!B260</f>
        <v>0.45496307483689186</v>
      </c>
      <c r="E258">
        <f>NormData!B261</f>
        <v>0.45354209549793145</v>
      </c>
      <c r="F258">
        <f>NormData!B262</f>
        <v>0.45379584180846011</v>
      </c>
      <c r="G258">
        <f>NormData!B263</f>
        <v>0.45537109890422195</v>
      </c>
      <c r="H258" s="14">
        <f>NormData!B264</f>
        <v>0.45623180638953509</v>
      </c>
      <c r="I258" s="24">
        <v>0.444569667098827</v>
      </c>
      <c r="J258" s="22">
        <v>41395</v>
      </c>
      <c r="K258" s="16">
        <f>Table3[[#This Row],[TgtAmount]] * (MAX(Table1[RSXFS]) - MIN(RawData!B:B)) +MIN(Table1[RSXFS])</f>
        <v>366868</v>
      </c>
      <c r="L258" s="15">
        <f>Table3[[#This Row],[Prediction]] * (MAX(Table1[RSXFS]) - MIN(RawData!B:B)) +MIN(Table1[RSXFS])</f>
        <v>361123.02026688994</v>
      </c>
      <c r="M258" s="14"/>
    </row>
    <row r="259" spans="1:13" x14ac:dyDescent="0.25">
      <c r="A259">
        <f>NormData!A265</f>
        <v>0.64618986115595733</v>
      </c>
      <c r="B259">
        <f>NormData!B259</f>
        <v>0.45077727569841136</v>
      </c>
      <c r="C259">
        <f>NormData!B260</f>
        <v>0.45496307483689186</v>
      </c>
      <c r="D259">
        <f>NormData!B261</f>
        <v>0.45354209549793145</v>
      </c>
      <c r="E259">
        <f>NormData!B262</f>
        <v>0.45379584180846011</v>
      </c>
      <c r="F259">
        <f>NormData!B263</f>
        <v>0.45537109890422195</v>
      </c>
      <c r="G259">
        <f>NormData!B264</f>
        <v>0.45623180638953509</v>
      </c>
      <c r="H259" s="14">
        <f>NormData!B265</f>
        <v>0.46157265873354203</v>
      </c>
      <c r="I259" s="24">
        <v>0.44544621008643276</v>
      </c>
      <c r="J259" s="22">
        <v>41426</v>
      </c>
      <c r="K259" s="16">
        <f>Table3[[#This Row],[TgtAmount]] * (MAX(Table1[RSXFS]) - MIN(RawData!B:B)) +MIN(Table1[RSXFS])</f>
        <v>369499</v>
      </c>
      <c r="L259" s="15">
        <f>Table3[[#This Row],[Prediction]] * (MAX(Table1[RSXFS]) - MIN(RawData!B:B)) +MIN(Table1[RSXFS])</f>
        <v>361554.82112035831</v>
      </c>
      <c r="M259" s="14"/>
    </row>
    <row r="260" spans="1:13" x14ac:dyDescent="0.25">
      <c r="A260">
        <f>NormData!A266</f>
        <v>0.64869228285437519</v>
      </c>
      <c r="B260">
        <f>NormData!B260</f>
        <v>0.45496307483689186</v>
      </c>
      <c r="C260">
        <f>NormData!B261</f>
        <v>0.45354209549793145</v>
      </c>
      <c r="D260">
        <f>NormData!B262</f>
        <v>0.45379584180846011</v>
      </c>
      <c r="E260">
        <f>NormData!B263</f>
        <v>0.45537109890422195</v>
      </c>
      <c r="F260">
        <f>NormData!B264</f>
        <v>0.45623180638953509</v>
      </c>
      <c r="G260">
        <f>NormData!B265</f>
        <v>0.46157265873354203</v>
      </c>
      <c r="H260" s="14">
        <f>NormData!B266</f>
        <v>0.45585829182043691</v>
      </c>
      <c r="I260" s="24">
        <v>0.45057073363049055</v>
      </c>
      <c r="J260" s="22">
        <v>41456</v>
      </c>
      <c r="K260" s="16">
        <f>Table3[[#This Row],[TgtAmount]] * (MAX(Table1[RSXFS]) - MIN(RawData!B:B)) +MIN(Table1[RSXFS])</f>
        <v>366684</v>
      </c>
      <c r="L260" s="15">
        <f>Table3[[#This Row],[Prediction]] * (MAX(Table1[RSXFS]) - MIN(RawData!B:B)) +MIN(Table1[RSXFS])</f>
        <v>364079.25365958503</v>
      </c>
      <c r="M260" s="14"/>
    </row>
    <row r="261" spans="1:13" x14ac:dyDescent="0.25">
      <c r="A261">
        <f>NormData!A267</f>
        <v>0.65119470455279305</v>
      </c>
      <c r="B261">
        <f>NormData!B261</f>
        <v>0.45354209549793145</v>
      </c>
      <c r="C261">
        <f>NormData!B262</f>
        <v>0.45379584180846011</v>
      </c>
      <c r="D261">
        <f>NormData!B263</f>
        <v>0.45537109890422195</v>
      </c>
      <c r="E261">
        <f>NormData!B264</f>
        <v>0.45623180638953509</v>
      </c>
      <c r="F261">
        <f>NormData!B265</f>
        <v>0.46157265873354203</v>
      </c>
      <c r="G261">
        <f>NormData!B266</f>
        <v>0.45585829182043691</v>
      </c>
      <c r="H261" s="14">
        <f>NormData!B267</f>
        <v>0.46529968454258674</v>
      </c>
      <c r="I261" s="24">
        <v>0.44735196420962459</v>
      </c>
      <c r="J261" s="22">
        <v>41487</v>
      </c>
      <c r="K261" s="16">
        <f>Table3[[#This Row],[TgtAmount]] * (MAX(Table1[RSXFS]) - MIN(RawData!B:B)) +MIN(Table1[RSXFS])</f>
        <v>371335</v>
      </c>
      <c r="L261" s="15">
        <f>Table3[[#This Row],[Prediction]] * (MAX(Table1[RSXFS]) - MIN(RawData!B:B)) +MIN(Table1[RSXFS])</f>
        <v>362493.62990501686</v>
      </c>
      <c r="M261" s="14"/>
    </row>
    <row r="262" spans="1:13" x14ac:dyDescent="0.25">
      <c r="A262">
        <f>NormData!A268</f>
        <v>0.65345495640942852</v>
      </c>
      <c r="B262">
        <f>NormData!B262</f>
        <v>0.45379584180846011</v>
      </c>
      <c r="C262">
        <f>NormData!B263</f>
        <v>0.45537109890422195</v>
      </c>
      <c r="D262">
        <f>NormData!B264</f>
        <v>0.45623180638953509</v>
      </c>
      <c r="E262">
        <f>NormData!B265</f>
        <v>0.46157265873354203</v>
      </c>
      <c r="F262">
        <f>NormData!B266</f>
        <v>0.45585829182043691</v>
      </c>
      <c r="G262">
        <f>NormData!B267</f>
        <v>0.46529968454258674</v>
      </c>
      <c r="H262" s="14">
        <f>NormData!B268</f>
        <v>0.47331806795529191</v>
      </c>
      <c r="I262" s="24">
        <v>0.4568554235134118</v>
      </c>
      <c r="J262" s="22">
        <v>41518</v>
      </c>
      <c r="K262" s="16">
        <f>Table3[[#This Row],[TgtAmount]] * (MAX(Table1[RSXFS]) - MIN(RawData!B:B)) +MIN(Table1[RSXFS])</f>
        <v>375285</v>
      </c>
      <c r="L262" s="15">
        <f>Table3[[#This Row],[Prediction]] * (MAX(Table1[RSXFS]) - MIN(RawData!B:B)) +MIN(Table1[RSXFS])</f>
        <v>367175.20502032991</v>
      </c>
      <c r="M262" s="14"/>
    </row>
    <row r="263" spans="1:13" x14ac:dyDescent="0.25">
      <c r="A263">
        <f>NormData!A269</f>
        <v>0.65595737810784627</v>
      </c>
      <c r="B263">
        <f>NormData!B263</f>
        <v>0.45537109890422195</v>
      </c>
      <c r="C263">
        <f>NormData!B264</f>
        <v>0.45623180638953509</v>
      </c>
      <c r="D263">
        <f>NormData!B265</f>
        <v>0.46157265873354203</v>
      </c>
      <c r="E263">
        <f>NormData!B266</f>
        <v>0.45585829182043691</v>
      </c>
      <c r="F263">
        <f>NormData!B267</f>
        <v>0.46529968454258674</v>
      </c>
      <c r="G263">
        <f>NormData!B268</f>
        <v>0.47331806795529191</v>
      </c>
      <c r="H263" s="14">
        <f>NormData!B269</f>
        <v>0.48173635555339023</v>
      </c>
      <c r="I263" s="24">
        <v>0.46263306892419442</v>
      </c>
      <c r="J263" s="22">
        <v>41548</v>
      </c>
      <c r="K263" s="16">
        <f>Table3[[#This Row],[TgtAmount]] * (MAX(Table1[RSXFS]) - MIN(RawData!B:B)) +MIN(Table1[RSXFS])</f>
        <v>379432</v>
      </c>
      <c r="L263" s="15">
        <f>Table3[[#This Row],[Prediction]] * (MAX(Table1[RSXFS]) - MIN(RawData!B:B)) +MIN(Table1[RSXFS])</f>
        <v>370021.37714729877</v>
      </c>
      <c r="M263" s="14"/>
    </row>
    <row r="264" spans="1:13" x14ac:dyDescent="0.25">
      <c r="A264">
        <f>NormData!A270</f>
        <v>0.65837907652566996</v>
      </c>
      <c r="B264">
        <f>NormData!B264</f>
        <v>0.45623180638953509</v>
      </c>
      <c r="C264">
        <f>NormData!B265</f>
        <v>0.46157265873354203</v>
      </c>
      <c r="D264">
        <f>NormData!B266</f>
        <v>0.45585829182043691</v>
      </c>
      <c r="E264">
        <f>NormData!B267</f>
        <v>0.46529968454258674</v>
      </c>
      <c r="F264">
        <f>NormData!B268</f>
        <v>0.47331806795529191</v>
      </c>
      <c r="G264">
        <f>NormData!B269</f>
        <v>0.48173635555339023</v>
      </c>
      <c r="H264" s="14">
        <f>NormData!B270</f>
        <v>0.48245699507529161</v>
      </c>
      <c r="I264" s="24">
        <v>0.46972992951768316</v>
      </c>
      <c r="J264" s="22">
        <v>41579</v>
      </c>
      <c r="K264" s="16">
        <f>Table3[[#This Row],[TgtAmount]] * (MAX(Table1[RSXFS]) - MIN(RawData!B:B)) +MIN(Table1[RSXFS])</f>
        <v>379787</v>
      </c>
      <c r="L264" s="15">
        <f>Table3[[#This Row],[Prediction]] * (MAX(Table1[RSXFS]) - MIN(RawData!B:B)) +MIN(Table1[RSXFS])</f>
        <v>373517.41841914202</v>
      </c>
      <c r="M264" s="14"/>
    </row>
    <row r="265" spans="1:13" x14ac:dyDescent="0.25">
      <c r="A265">
        <f>NormData!A271</f>
        <v>0.66088149822408782</v>
      </c>
      <c r="B265">
        <f>NormData!B265</f>
        <v>0.46157265873354203</v>
      </c>
      <c r="C265">
        <f>NormData!B266</f>
        <v>0.45585829182043691</v>
      </c>
      <c r="D265">
        <f>NormData!B267</f>
        <v>0.46529968454258674</v>
      </c>
      <c r="E265">
        <f>NormData!B268</f>
        <v>0.47331806795529191</v>
      </c>
      <c r="F265">
        <f>NormData!B269</f>
        <v>0.48173635555339023</v>
      </c>
      <c r="G265">
        <f>NormData!B270</f>
        <v>0.48245699507529161</v>
      </c>
      <c r="H265" s="14">
        <f>NormData!B271</f>
        <v>0.48414390054768602</v>
      </c>
      <c r="I265" s="24">
        <v>0.46927442374704381</v>
      </c>
      <c r="J265" s="22">
        <v>41609</v>
      </c>
      <c r="K265" s="16">
        <f>Table3[[#This Row],[TgtAmount]] * (MAX(Table1[RSXFS]) - MIN(RawData!B:B)) +MIN(Table1[RSXFS])</f>
        <v>380618</v>
      </c>
      <c r="L265" s="15">
        <f>Table3[[#This Row],[Prediction]] * (MAX(Table1[RSXFS]) - MIN(RawData!B:B)) +MIN(Table1[RSXFS])</f>
        <v>373293.02807742124</v>
      </c>
      <c r="M265" s="14"/>
    </row>
    <row r="266" spans="1:13" x14ac:dyDescent="0.25">
      <c r="A266">
        <f>NormData!A272</f>
        <v>0.66330319664191151</v>
      </c>
      <c r="B266">
        <f>NormData!B266</f>
        <v>0.45585829182043691</v>
      </c>
      <c r="C266">
        <f>NormData!B267</f>
        <v>0.46529968454258674</v>
      </c>
      <c r="D266">
        <f>NormData!B268</f>
        <v>0.47331806795529191</v>
      </c>
      <c r="E266">
        <f>NormData!B269</f>
        <v>0.48173635555339023</v>
      </c>
      <c r="F266">
        <f>NormData!B270</f>
        <v>0.48245699507529161</v>
      </c>
      <c r="G266">
        <f>NormData!B271</f>
        <v>0.48414390054768602</v>
      </c>
      <c r="H266" s="14">
        <f>NormData!B272</f>
        <v>0.4850106979444519</v>
      </c>
      <c r="I266" s="24">
        <v>0.47075619663860474</v>
      </c>
      <c r="J266" s="22">
        <v>41640</v>
      </c>
      <c r="K266" s="16">
        <f>Table3[[#This Row],[TgtAmount]] * (MAX(Table1[RSXFS]) - MIN(RawData!B:B)) +MIN(Table1[RSXFS])</f>
        <v>381045</v>
      </c>
      <c r="L266" s="15">
        <f>Table3[[#This Row],[Prediction]] * (MAX(Table1[RSXFS]) - MIN(RawData!B:B)) +MIN(Table1[RSXFS])</f>
        <v>374022.9760757162</v>
      </c>
      <c r="M266" s="14"/>
    </row>
    <row r="267" spans="1:13" x14ac:dyDescent="0.25">
      <c r="A267">
        <f>NormData!A273</f>
        <v>0.66580561834032936</v>
      </c>
      <c r="B267">
        <f>NormData!B267</f>
        <v>0.46529968454258674</v>
      </c>
      <c r="C267">
        <f>NormData!B268</f>
        <v>0.47331806795529191</v>
      </c>
      <c r="D267">
        <f>NormData!B269</f>
        <v>0.48173635555339023</v>
      </c>
      <c r="E267">
        <f>NormData!B270</f>
        <v>0.48245699507529161</v>
      </c>
      <c r="F267">
        <f>NormData!B271</f>
        <v>0.48414390054768602</v>
      </c>
      <c r="G267">
        <f>NormData!B272</f>
        <v>0.4850106979444519</v>
      </c>
      <c r="H267" s="14">
        <f>NormData!B273</f>
        <v>0.49104377022358092</v>
      </c>
      <c r="I267" s="24">
        <v>0.46743697777100734</v>
      </c>
      <c r="J267" s="22">
        <v>41671</v>
      </c>
      <c r="K267" s="16">
        <f>Table3[[#This Row],[TgtAmount]] * (MAX(Table1[RSXFS]) - MIN(RawData!B:B)) +MIN(Table1[RSXFS])</f>
        <v>384017</v>
      </c>
      <c r="L267" s="15">
        <f>Table3[[#This Row],[Prediction]] * (MAX(Table1[RSXFS]) - MIN(RawData!B:B)) +MIN(Table1[RSXFS])</f>
        <v>372387.86911559809</v>
      </c>
      <c r="M267" s="14"/>
    </row>
    <row r="268" spans="1:13" x14ac:dyDescent="0.25">
      <c r="A268">
        <f>NormData!A274</f>
        <v>0.66830804003874722</v>
      </c>
      <c r="B268">
        <f>NormData!B268</f>
        <v>0.47331806795529191</v>
      </c>
      <c r="C268">
        <f>NormData!B269</f>
        <v>0.48173635555339023</v>
      </c>
      <c r="D268">
        <f>NormData!B270</f>
        <v>0.48245699507529161</v>
      </c>
      <c r="E268">
        <f>NormData!B271</f>
        <v>0.48414390054768602</v>
      </c>
      <c r="F268">
        <f>NormData!B272</f>
        <v>0.4850106979444519</v>
      </c>
      <c r="G268">
        <f>NormData!B273</f>
        <v>0.49104377022358092</v>
      </c>
      <c r="H268" s="14">
        <f>NormData!B274</f>
        <v>0.48751162158102224</v>
      </c>
      <c r="I268" s="24">
        <v>0.46996728027783818</v>
      </c>
      <c r="J268" s="22">
        <v>41699</v>
      </c>
      <c r="K268" s="16">
        <f>Table3[[#This Row],[TgtAmount]] * (MAX(Table1[RSXFS]) - MIN(RawData!B:B)) +MIN(Table1[RSXFS])</f>
        <v>382277</v>
      </c>
      <c r="L268" s="15">
        <f>Table3[[#This Row],[Prediction]] * (MAX(Table1[RSXFS]) - MIN(RawData!B:B)) +MIN(Table1[RSXFS])</f>
        <v>373634.34167590807</v>
      </c>
      <c r="M268" s="14"/>
    </row>
    <row r="269" spans="1:13" x14ac:dyDescent="0.25">
      <c r="A269">
        <f>NormData!A275</f>
        <v>0.67072973845657091</v>
      </c>
      <c r="B269">
        <f>NormData!B269</f>
        <v>0.48173635555339023</v>
      </c>
      <c r="C269">
        <f>NormData!B270</f>
        <v>0.48245699507529161</v>
      </c>
      <c r="D269">
        <f>NormData!B271</f>
        <v>0.48414390054768602</v>
      </c>
      <c r="E269">
        <f>NormData!B272</f>
        <v>0.4850106979444519</v>
      </c>
      <c r="F269">
        <f>NormData!B273</f>
        <v>0.49104377022358092</v>
      </c>
      <c r="G269">
        <f>NormData!B274</f>
        <v>0.48751162158102224</v>
      </c>
      <c r="H269" s="14">
        <f>NormData!B275</f>
        <v>0.48963497070752593</v>
      </c>
      <c r="I269" s="24">
        <v>0.46539972505479954</v>
      </c>
      <c r="J269" s="22">
        <v>41730</v>
      </c>
      <c r="K269" s="16">
        <f>Table3[[#This Row],[TgtAmount]] * (MAX(Table1[RSXFS]) - MIN(RawData!B:B)) +MIN(Table1[RSXFS])</f>
        <v>383323</v>
      </c>
      <c r="L269" s="15">
        <f>Table3[[#This Row],[Prediction]] * (MAX(Table1[RSXFS]) - MIN(RawData!B:B)) +MIN(Table1[RSXFS])</f>
        <v>371384.28175704525</v>
      </c>
      <c r="M269" s="14"/>
    </row>
    <row r="270" spans="1:13" x14ac:dyDescent="0.25">
      <c r="A270">
        <f>NormData!A276</f>
        <v>0.67323216015498866</v>
      </c>
      <c r="B270">
        <f>NormData!B270</f>
        <v>0.48245699507529161</v>
      </c>
      <c r="C270">
        <f>NormData!B271</f>
        <v>0.48414390054768602</v>
      </c>
      <c r="D270">
        <f>NormData!B272</f>
        <v>0.4850106979444519</v>
      </c>
      <c r="E270">
        <f>NormData!B273</f>
        <v>0.49104377022358092</v>
      </c>
      <c r="F270">
        <f>NormData!B274</f>
        <v>0.48751162158102224</v>
      </c>
      <c r="G270">
        <f>NormData!B275</f>
        <v>0.48963497070752593</v>
      </c>
      <c r="H270" s="14">
        <f>NormData!B276</f>
        <v>0.49194101717761024</v>
      </c>
      <c r="I270" s="24">
        <v>0.46892162160471429</v>
      </c>
      <c r="J270" s="22">
        <v>41760</v>
      </c>
      <c r="K270" s="16">
        <f>Table3[[#This Row],[TgtAmount]] * (MAX(Table1[RSXFS]) - MIN(RawData!B:B)) +MIN(Table1[RSXFS])</f>
        <v>384459</v>
      </c>
      <c r="L270" s="15">
        <f>Table3[[#This Row],[Prediction]] * (MAX(Table1[RSXFS]) - MIN(RawData!B:B)) +MIN(Table1[RSXFS])</f>
        <v>373119.23139167111</v>
      </c>
      <c r="M270" s="14"/>
    </row>
    <row r="271" spans="1:13" x14ac:dyDescent="0.25">
      <c r="A271">
        <f>NormData!A277</f>
        <v>0.67565385857281235</v>
      </c>
      <c r="B271">
        <f>NormData!B271</f>
        <v>0.48414390054768602</v>
      </c>
      <c r="C271">
        <f>NormData!B272</f>
        <v>0.4850106979444519</v>
      </c>
      <c r="D271">
        <f>NormData!B273</f>
        <v>0.49104377022358092</v>
      </c>
      <c r="E271">
        <f>NormData!B274</f>
        <v>0.48751162158102224</v>
      </c>
      <c r="F271">
        <f>NormData!B275</f>
        <v>0.48963497070752593</v>
      </c>
      <c r="G271">
        <f>NormData!B276</f>
        <v>0.49194101717761024</v>
      </c>
      <c r="H271" s="14">
        <f>NormData!B277</f>
        <v>0.48427381865867669</v>
      </c>
      <c r="I271" s="24">
        <v>0.4708959855808964</v>
      </c>
      <c r="J271" s="22">
        <v>41791</v>
      </c>
      <c r="K271" s="16">
        <f>Table3[[#This Row],[TgtAmount]] * (MAX(Table1[RSXFS]) - MIN(RawData!B:B)) +MIN(Table1[RSXFS])</f>
        <v>380682</v>
      </c>
      <c r="L271" s="15">
        <f>Table3[[#This Row],[Prediction]] * (MAX(Table1[RSXFS]) - MIN(RawData!B:B)) +MIN(Table1[RSXFS])</f>
        <v>374091.83862489002</v>
      </c>
      <c r="M271" s="14"/>
    </row>
    <row r="272" spans="1:13" x14ac:dyDescent="0.25">
      <c r="A272">
        <f>NormData!A278</f>
        <v>0.67815628027123021</v>
      </c>
      <c r="B272">
        <f>NormData!B272</f>
        <v>0.4850106979444519</v>
      </c>
      <c r="C272">
        <f>NormData!B273</f>
        <v>0.49104377022358092</v>
      </c>
      <c r="D272">
        <f>NormData!B274</f>
        <v>0.48751162158102224</v>
      </c>
      <c r="E272">
        <f>NormData!B275</f>
        <v>0.48963497070752593</v>
      </c>
      <c r="F272">
        <f>NormData!B276</f>
        <v>0.49194101717761024</v>
      </c>
      <c r="G272">
        <f>NormData!B277</f>
        <v>0.48427381865867669</v>
      </c>
      <c r="H272" s="14">
        <f>NormData!B278</f>
        <v>0.47988096253080481</v>
      </c>
      <c r="I272" s="24">
        <v>0.46549164279231658</v>
      </c>
      <c r="J272" s="22">
        <v>41821</v>
      </c>
      <c r="K272" s="16">
        <f>Table3[[#This Row],[TgtAmount]] * (MAX(Table1[RSXFS]) - MIN(RawData!B:B)) +MIN(Table1[RSXFS])</f>
        <v>378518</v>
      </c>
      <c r="L272" s="15">
        <f>Table3[[#This Row],[Prediction]] * (MAX(Table1[RSXFS]) - MIN(RawData!B:B)) +MIN(Table1[RSXFS])</f>
        <v>371429.56208906544</v>
      </c>
      <c r="M272" s="14"/>
    </row>
    <row r="273" spans="1:13" x14ac:dyDescent="0.25">
      <c r="A273">
        <f>NormData!A279</f>
        <v>0.68065870196964806</v>
      </c>
      <c r="B273">
        <f>NormData!B273</f>
        <v>0.49104377022358092</v>
      </c>
      <c r="C273">
        <f>NormData!B274</f>
        <v>0.48751162158102224</v>
      </c>
      <c r="D273">
        <f>NormData!B275</f>
        <v>0.48963497070752593</v>
      </c>
      <c r="E273">
        <f>NormData!B276</f>
        <v>0.49194101717761024</v>
      </c>
      <c r="F273">
        <f>NormData!B277</f>
        <v>0.48427381865867669</v>
      </c>
      <c r="G273">
        <f>NormData!B278</f>
        <v>0.47988096253080481</v>
      </c>
      <c r="H273" s="14">
        <f>NormData!B279</f>
        <v>0.47800526980337704</v>
      </c>
      <c r="I273" s="24">
        <v>0.46391346599756578</v>
      </c>
      <c r="J273" s="22">
        <v>41852</v>
      </c>
      <c r="K273" s="16">
        <f>Table3[[#This Row],[TgtAmount]] * (MAX(Table1[RSXFS]) - MIN(RawData!B:B)) +MIN(Table1[RSXFS])</f>
        <v>377594</v>
      </c>
      <c r="L273" s="15">
        <f>Table3[[#This Row],[Prediction]] * (MAX(Table1[RSXFS]) - MIN(RawData!B:B)) +MIN(Table1[RSXFS])</f>
        <v>370652.12379278883</v>
      </c>
      <c r="M273" s="14"/>
    </row>
    <row r="274" spans="1:13" x14ac:dyDescent="0.25">
      <c r="A274">
        <f>NormData!A280</f>
        <v>0.68291895382628354</v>
      </c>
      <c r="B274">
        <f>NormData!B274</f>
        <v>0.48751162158102224</v>
      </c>
      <c r="C274">
        <f>NormData!B275</f>
        <v>0.48963497070752593</v>
      </c>
      <c r="D274">
        <f>NormData!B276</f>
        <v>0.49194101717761024</v>
      </c>
      <c r="E274">
        <f>NormData!B277</f>
        <v>0.48427381865867669</v>
      </c>
      <c r="F274">
        <f>NormData!B278</f>
        <v>0.47988096253080481</v>
      </c>
      <c r="G274">
        <f>NormData!B279</f>
        <v>0.47800526980337704</v>
      </c>
      <c r="H274" s="14">
        <f>NormData!B280</f>
        <v>0.49036170014087993</v>
      </c>
      <c r="I274" s="24">
        <v>0.46520435481473804</v>
      </c>
      <c r="J274" s="22">
        <v>41883</v>
      </c>
      <c r="K274" s="16">
        <f>Table3[[#This Row],[TgtAmount]] * (MAX(Table1[RSXFS]) - MIN(RawData!B:B)) +MIN(Table1[RSXFS])</f>
        <v>383681</v>
      </c>
      <c r="L274" s="15">
        <f>Table3[[#This Row],[Prediction]] * (MAX(Table1[RSXFS]) - MIN(RawData!B:B)) +MIN(Table1[RSXFS])</f>
        <v>371288.03886012663</v>
      </c>
      <c r="M274" s="14"/>
    </row>
    <row r="275" spans="1:13" x14ac:dyDescent="0.25">
      <c r="A275">
        <f>NormData!A281</f>
        <v>0.68542137552470128</v>
      </c>
      <c r="B275">
        <f>NormData!B275</f>
        <v>0.48963497070752593</v>
      </c>
      <c r="C275">
        <f>NormData!B276</f>
        <v>0.49194101717761024</v>
      </c>
      <c r="D275">
        <f>NormData!B277</f>
        <v>0.48427381865867669</v>
      </c>
      <c r="E275">
        <f>NormData!B278</f>
        <v>0.47988096253080481</v>
      </c>
      <c r="F275">
        <f>NormData!B279</f>
        <v>0.47800526980337704</v>
      </c>
      <c r="G275">
        <f>NormData!B280</f>
        <v>0.49036170014087993</v>
      </c>
      <c r="H275" s="14">
        <f>NormData!B281</f>
        <v>0.49079205388353653</v>
      </c>
      <c r="I275" s="24">
        <v>0.47776886508260574</v>
      </c>
      <c r="J275" s="22">
        <v>41913</v>
      </c>
      <c r="K275" s="16">
        <f>Table3[[#This Row],[TgtAmount]] * (MAX(Table1[RSXFS]) - MIN(RawData!B:B)) +MIN(Table1[RSXFS])</f>
        <v>383893</v>
      </c>
      <c r="L275" s="15">
        <f>Table3[[#This Row],[Prediction]] * (MAX(Table1[RSXFS]) - MIN(RawData!B:B)) +MIN(Table1[RSXFS])</f>
        <v>377477.54277926311</v>
      </c>
      <c r="M275" s="14"/>
    </row>
    <row r="276" spans="1:13" x14ac:dyDescent="0.25">
      <c r="A276">
        <f>NormData!A282</f>
        <v>0.68784307394252497</v>
      </c>
      <c r="B276">
        <f>NormData!B276</f>
        <v>0.49194101717761024</v>
      </c>
      <c r="C276">
        <f>NormData!B277</f>
        <v>0.48427381865867669</v>
      </c>
      <c r="D276">
        <f>NormData!B278</f>
        <v>0.47988096253080481</v>
      </c>
      <c r="E276">
        <f>NormData!B279</f>
        <v>0.47800526980337704</v>
      </c>
      <c r="F276">
        <f>NormData!B280</f>
        <v>0.49036170014087993</v>
      </c>
      <c r="G276">
        <f>NormData!B281</f>
        <v>0.49079205388353653</v>
      </c>
      <c r="H276" s="14">
        <f>NormData!B282</f>
        <v>0.49741381760309206</v>
      </c>
      <c r="I276" s="24">
        <v>0.47998791026961124</v>
      </c>
      <c r="J276" s="22">
        <v>41944</v>
      </c>
      <c r="K276" s="16">
        <f>Table3[[#This Row],[TgtAmount]] * (MAX(Table1[RSXFS]) - MIN(RawData!B:B)) +MIN(Table1[RSXFS])</f>
        <v>387155</v>
      </c>
      <c r="L276" s="15">
        <f>Table3[[#This Row],[Prediction]] * (MAX(Table1[RSXFS]) - MIN(RawData!B:B)) +MIN(Table1[RSXFS])</f>
        <v>378570.68438119534</v>
      </c>
      <c r="M276" s="14"/>
    </row>
    <row r="277" spans="1:13" x14ac:dyDescent="0.25">
      <c r="A277">
        <f>NormData!A283</f>
        <v>0.69034549564094283</v>
      </c>
      <c r="B277">
        <f>NormData!B277</f>
        <v>0.48427381865867669</v>
      </c>
      <c r="C277">
        <f>NormData!B278</f>
        <v>0.47988096253080481</v>
      </c>
      <c r="D277">
        <f>NormData!B279</f>
        <v>0.47800526980337704</v>
      </c>
      <c r="E277">
        <f>NormData!B280</f>
        <v>0.49036170014087993</v>
      </c>
      <c r="F277">
        <f>NormData!B281</f>
        <v>0.49079205388353653</v>
      </c>
      <c r="G277">
        <f>NormData!B282</f>
        <v>0.49741381760309206</v>
      </c>
      <c r="H277" s="14">
        <f>NormData!B283</f>
        <v>0.49750313630439813</v>
      </c>
      <c r="I277" s="24">
        <v>0.4905945203091539</v>
      </c>
      <c r="J277" s="22">
        <v>41974</v>
      </c>
      <c r="K277" s="16">
        <f>Table3[[#This Row],[TgtAmount]] * (MAX(Table1[RSXFS]) - MIN(RawData!B:B)) +MIN(Table1[RSXFS])</f>
        <v>387199</v>
      </c>
      <c r="L277" s="15">
        <f>Table3[[#This Row],[Prediction]] * (MAX(Table1[RSXFS]) - MIN(RawData!B:B)) +MIN(Table1[RSXFS])</f>
        <v>383795.69140565477</v>
      </c>
      <c r="M277" s="14"/>
    </row>
    <row r="278" spans="1:13" x14ac:dyDescent="0.25">
      <c r="A278">
        <f>NormData!A284</f>
        <v>0.69276719405876652</v>
      </c>
      <c r="B278">
        <f>NormData!B278</f>
        <v>0.47988096253080481</v>
      </c>
      <c r="C278">
        <f>NormData!B279</f>
        <v>0.47800526980337704</v>
      </c>
      <c r="D278">
        <f>NormData!B280</f>
        <v>0.49036170014087993</v>
      </c>
      <c r="E278">
        <f>NormData!B281</f>
        <v>0.49079205388353653</v>
      </c>
      <c r="F278">
        <f>NormData!B282</f>
        <v>0.49741381760309206</v>
      </c>
      <c r="G278">
        <f>NormData!B283</f>
        <v>0.49750313630439813</v>
      </c>
      <c r="H278" s="14">
        <f>NormData!B284</f>
        <v>0.50512364550219435</v>
      </c>
      <c r="I278" s="24">
        <v>0.49133613182865482</v>
      </c>
      <c r="J278" s="22">
        <v>42005</v>
      </c>
      <c r="K278" s="16">
        <f>Table3[[#This Row],[TgtAmount]] * (MAX(Table1[RSXFS]) - MIN(RawData!B:B)) +MIN(Table1[RSXFS])</f>
        <v>390953</v>
      </c>
      <c r="L278" s="15">
        <f>Table3[[#This Row],[Prediction]] * (MAX(Table1[RSXFS]) - MIN(RawData!B:B)) +MIN(Table1[RSXFS])</f>
        <v>384161.02258916828</v>
      </c>
      <c r="M278" s="14"/>
    </row>
    <row r="279" spans="1:13" x14ac:dyDescent="0.25">
      <c r="A279">
        <f>NormData!A285</f>
        <v>0.69526961575718438</v>
      </c>
      <c r="B279">
        <f>NormData!B279</f>
        <v>0.47800526980337704</v>
      </c>
      <c r="C279">
        <f>NormData!B280</f>
        <v>0.49036170014087993</v>
      </c>
      <c r="D279">
        <f>NormData!B281</f>
        <v>0.49079205388353653</v>
      </c>
      <c r="E279">
        <f>NormData!B282</f>
        <v>0.49741381760309206</v>
      </c>
      <c r="F279">
        <f>NormData!B283</f>
        <v>0.49750313630439813</v>
      </c>
      <c r="G279">
        <f>NormData!B284</f>
        <v>0.50512364550219435</v>
      </c>
      <c r="H279" s="14">
        <f>NormData!B285</f>
        <v>0.50434616680673461</v>
      </c>
      <c r="I279" s="24">
        <v>0.49740827445096197</v>
      </c>
      <c r="J279" s="22">
        <v>42036</v>
      </c>
      <c r="K279" s="16">
        <f>Table3[[#This Row],[TgtAmount]] * (MAX(Table1[RSXFS]) - MIN(RawData!B:B)) +MIN(Table1[RSXFS])</f>
        <v>390570</v>
      </c>
      <c r="L279" s="15">
        <f>Table3[[#This Row],[Prediction]] * (MAX(Table1[RSXFS]) - MIN(RawData!B:B)) +MIN(Table1[RSXFS])</f>
        <v>387152.26934348396</v>
      </c>
      <c r="M279" s="14"/>
    </row>
    <row r="280" spans="1:13" x14ac:dyDescent="0.25">
      <c r="A280">
        <f>NormData!A286</f>
        <v>0.69777203745560223</v>
      </c>
      <c r="B280">
        <f>NormData!B280</f>
        <v>0.49036170014087993</v>
      </c>
      <c r="C280">
        <f>NormData!B281</f>
        <v>0.49079205388353653</v>
      </c>
      <c r="D280">
        <f>NormData!B282</f>
        <v>0.49741381760309206</v>
      </c>
      <c r="E280">
        <f>NormData!B283</f>
        <v>0.49750313630439813</v>
      </c>
      <c r="F280">
        <f>NormData!B284</f>
        <v>0.50512364550219435</v>
      </c>
      <c r="G280">
        <f>NormData!B285</f>
        <v>0.50434616680673461</v>
      </c>
      <c r="H280" s="14">
        <f>NormData!B286</f>
        <v>0.50024765639907598</v>
      </c>
      <c r="I280" s="24">
        <v>0.49323974115709002</v>
      </c>
      <c r="J280" s="22">
        <v>42064</v>
      </c>
      <c r="K280" s="16">
        <f>Table3[[#This Row],[TgtAmount]] * (MAX(Table1[RSXFS]) - MIN(RawData!B:B)) +MIN(Table1[RSXFS])</f>
        <v>388551</v>
      </c>
      <c r="L280" s="15">
        <f>Table3[[#This Row],[Prediction]] * (MAX(Table1[RSXFS]) - MIN(RawData!B:B)) +MIN(Table1[RSXFS])</f>
        <v>385098.77480932337</v>
      </c>
      <c r="M280" s="14"/>
    </row>
    <row r="281" spans="1:13" x14ac:dyDescent="0.25">
      <c r="A281">
        <f>NormData!A287</f>
        <v>0.70019373587342593</v>
      </c>
      <c r="B281">
        <f>NormData!B281</f>
        <v>0.49079205388353653</v>
      </c>
      <c r="C281">
        <f>NormData!B282</f>
        <v>0.49741381760309206</v>
      </c>
      <c r="D281">
        <f>NormData!B283</f>
        <v>0.49750313630439813</v>
      </c>
      <c r="E281">
        <f>NormData!B284</f>
        <v>0.50512364550219435</v>
      </c>
      <c r="F281">
        <f>NormData!B285</f>
        <v>0.50434616680673461</v>
      </c>
      <c r="G281">
        <f>NormData!B286</f>
        <v>0.50024765639907598</v>
      </c>
      <c r="H281" s="14">
        <f>NormData!B287</f>
        <v>0.49723315022999565</v>
      </c>
      <c r="I281" s="24">
        <v>0.49054407538625089</v>
      </c>
      <c r="J281" s="22">
        <v>42095</v>
      </c>
      <c r="K281" s="16">
        <f>Table3[[#This Row],[TgtAmount]] * (MAX(Table1[RSXFS]) - MIN(RawData!B:B)) +MIN(Table1[RSXFS])</f>
        <v>387066</v>
      </c>
      <c r="L281" s="15">
        <f>Table3[[#This Row],[Prediction]] * (MAX(Table1[RSXFS]) - MIN(RawData!B:B)) +MIN(Table1[RSXFS])</f>
        <v>383770.84132862417</v>
      </c>
      <c r="M281" s="14"/>
    </row>
    <row r="282" spans="1:13" x14ac:dyDescent="0.25">
      <c r="A282">
        <f>NormData!A288</f>
        <v>0.70269615757184367</v>
      </c>
      <c r="B282">
        <f>NormData!B282</f>
        <v>0.49741381760309206</v>
      </c>
      <c r="C282">
        <f>NormData!B283</f>
        <v>0.49750313630439813</v>
      </c>
      <c r="D282">
        <f>NormData!B284</f>
        <v>0.50512364550219435</v>
      </c>
      <c r="E282">
        <f>NormData!B285</f>
        <v>0.50434616680673461</v>
      </c>
      <c r="F282">
        <f>NormData!B286</f>
        <v>0.50024765639907598</v>
      </c>
      <c r="G282">
        <f>NormData!B287</f>
        <v>0.49723315022999565</v>
      </c>
      <c r="H282" s="14">
        <f>NormData!B288</f>
        <v>0.50020502701890712</v>
      </c>
      <c r="I282" s="24">
        <v>0.48795037848057848</v>
      </c>
      <c r="J282" s="22">
        <v>42125</v>
      </c>
      <c r="K282" s="16">
        <f>Table3[[#This Row],[TgtAmount]] * (MAX(Table1[RSXFS]) - MIN(RawData!B:B)) +MIN(Table1[RSXFS])</f>
        <v>388530</v>
      </c>
      <c r="L282" s="15">
        <f>Table3[[#This Row],[Prediction]] * (MAX(Table1[RSXFS]) - MIN(RawData!B:B)) +MIN(Table1[RSXFS])</f>
        <v>382493.13954634557</v>
      </c>
      <c r="M282" s="14"/>
    </row>
    <row r="283" spans="1:13" x14ac:dyDescent="0.25">
      <c r="A283">
        <f>NormData!A289</f>
        <v>0.70511785598966747</v>
      </c>
      <c r="B283">
        <f>NormData!B283</f>
        <v>0.49750313630439813</v>
      </c>
      <c r="C283">
        <f>NormData!B284</f>
        <v>0.50512364550219435</v>
      </c>
      <c r="D283">
        <f>NormData!B285</f>
        <v>0.50434616680673461</v>
      </c>
      <c r="E283">
        <f>NormData!B286</f>
        <v>0.50024765639907598</v>
      </c>
      <c r="F283">
        <f>NormData!B287</f>
        <v>0.49723315022999565</v>
      </c>
      <c r="G283">
        <f>NormData!B288</f>
        <v>0.50020502701890712</v>
      </c>
      <c r="H283" s="14">
        <f>NormData!B289</f>
        <v>0.50227762688330513</v>
      </c>
      <c r="I283" s="24">
        <v>0.4915438544499286</v>
      </c>
      <c r="J283" s="22">
        <v>42156</v>
      </c>
      <c r="K283" s="16">
        <f>Table3[[#This Row],[TgtAmount]] * (MAX(Table1[RSXFS]) - MIN(RawData!B:B)) +MIN(Table1[RSXFS])</f>
        <v>389551</v>
      </c>
      <c r="L283" s="15">
        <f>Table3[[#This Row],[Prediction]] * (MAX(Table1[RSXFS]) - MIN(RawData!B:B)) +MIN(Table1[RSXFS])</f>
        <v>384263.35049141489</v>
      </c>
      <c r="M283" s="14"/>
    </row>
    <row r="284" spans="1:13" x14ac:dyDescent="0.25">
      <c r="A284">
        <f>NormData!A290</f>
        <v>0.70762027768808522</v>
      </c>
      <c r="B284">
        <f>NormData!B284</f>
        <v>0.50512364550219435</v>
      </c>
      <c r="C284">
        <f>NormData!B285</f>
        <v>0.50434616680673461</v>
      </c>
      <c r="D284">
        <f>NormData!B286</f>
        <v>0.50024765639907598</v>
      </c>
      <c r="E284">
        <f>NormData!B287</f>
        <v>0.49723315022999565</v>
      </c>
      <c r="F284">
        <f>NormData!B288</f>
        <v>0.50020502701890712</v>
      </c>
      <c r="G284">
        <f>NormData!B289</f>
        <v>0.50227762688330513</v>
      </c>
      <c r="H284" s="14">
        <f>NormData!B290</f>
        <v>0.49807964792191922</v>
      </c>
      <c r="I284" s="24">
        <v>0.49380136693287563</v>
      </c>
      <c r="J284" s="22">
        <v>42186</v>
      </c>
      <c r="K284" s="16">
        <f>Table3[[#This Row],[TgtAmount]] * (MAX(Table1[RSXFS]) - MIN(RawData!B:B)) +MIN(Table1[RSXFS])</f>
        <v>387483</v>
      </c>
      <c r="L284" s="15">
        <f>Table3[[#This Row],[Prediction]] * (MAX(Table1[RSXFS]) - MIN(RawData!B:B)) +MIN(Table1[RSXFS])</f>
        <v>385375.44177573931</v>
      </c>
      <c r="M284" s="14"/>
    </row>
    <row r="285" spans="1:13" x14ac:dyDescent="0.25">
      <c r="A285">
        <f>NormData!A291</f>
        <v>0.71012269938650308</v>
      </c>
      <c r="B285">
        <f>NormData!B285</f>
        <v>0.50434616680673461</v>
      </c>
      <c r="C285">
        <f>NormData!B286</f>
        <v>0.50024765639907598</v>
      </c>
      <c r="D285">
        <f>NormData!B287</f>
        <v>0.49723315022999565</v>
      </c>
      <c r="E285">
        <f>NormData!B288</f>
        <v>0.50020502701890712</v>
      </c>
      <c r="F285">
        <f>NormData!B289</f>
        <v>0.50227762688330513</v>
      </c>
      <c r="G285">
        <f>NormData!B290</f>
        <v>0.49807964792191922</v>
      </c>
      <c r="H285" s="14">
        <f>NormData!B291</f>
        <v>0.50324795277476664</v>
      </c>
      <c r="I285" s="24">
        <v>0.4937470853087112</v>
      </c>
      <c r="J285" s="22">
        <v>42217</v>
      </c>
      <c r="K285" s="16">
        <f>Table3[[#This Row],[TgtAmount]] * (MAX(Table1[RSXFS]) - MIN(RawData!B:B)) +MIN(Table1[RSXFS])</f>
        <v>390029</v>
      </c>
      <c r="L285" s="15">
        <f>Table3[[#This Row],[Prediction]] * (MAX(Table1[RSXFS]) - MIN(RawData!B:B)) +MIN(Table1[RSXFS])</f>
        <v>385348.70167060668</v>
      </c>
      <c r="M285" s="14"/>
    </row>
    <row r="286" spans="1:13" x14ac:dyDescent="0.25">
      <c r="A286">
        <f>NormData!A292</f>
        <v>0.7124636745237326</v>
      </c>
      <c r="B286">
        <f>NormData!B286</f>
        <v>0.50024765639907598</v>
      </c>
      <c r="C286">
        <f>NormData!B287</f>
        <v>0.49723315022999565</v>
      </c>
      <c r="D286">
        <f>NormData!B288</f>
        <v>0.50020502701890712</v>
      </c>
      <c r="E286">
        <f>NormData!B289</f>
        <v>0.50227762688330513</v>
      </c>
      <c r="F286">
        <f>NormData!B290</f>
        <v>0.49807964792191922</v>
      </c>
      <c r="G286">
        <f>NormData!B291</f>
        <v>0.50324795277476664</v>
      </c>
      <c r="H286" s="14">
        <f>NormData!B292</f>
        <v>0.50115505320552645</v>
      </c>
      <c r="I286" s="24">
        <v>0.50186898292042059</v>
      </c>
      <c r="J286" s="22">
        <v>42248</v>
      </c>
      <c r="K286" s="16">
        <f>Table3[[#This Row],[TgtAmount]] * (MAX(Table1[RSXFS]) - MIN(RawData!B:B)) +MIN(Table1[RSXFS])</f>
        <v>388998</v>
      </c>
      <c r="L286" s="15">
        <f>Table3[[#This Row],[Prediction]] * (MAX(Table1[RSXFS]) - MIN(RawData!B:B)) +MIN(Table1[RSXFS])</f>
        <v>389349.69462829176</v>
      </c>
      <c r="M286" s="14"/>
    </row>
    <row r="287" spans="1:13" x14ac:dyDescent="0.25">
      <c r="A287">
        <f>NormData!A293</f>
        <v>0.71496609622215046</v>
      </c>
      <c r="B287">
        <f>NormData!B287</f>
        <v>0.49723315022999565</v>
      </c>
      <c r="C287">
        <f>NormData!B288</f>
        <v>0.50020502701890712</v>
      </c>
      <c r="D287">
        <f>NormData!B289</f>
        <v>0.50227762688330513</v>
      </c>
      <c r="E287">
        <f>NormData!B290</f>
        <v>0.49807964792191922</v>
      </c>
      <c r="F287">
        <f>NormData!B291</f>
        <v>0.50324795277476664</v>
      </c>
      <c r="G287">
        <f>NormData!B292</f>
        <v>0.50115505320552645</v>
      </c>
      <c r="H287" s="14">
        <f>NormData!B293</f>
        <v>0.50544641080918684</v>
      </c>
      <c r="I287" s="24">
        <v>0.50144267101852669</v>
      </c>
      <c r="J287" s="22">
        <v>42278</v>
      </c>
      <c r="K287" s="16">
        <f>Table3[[#This Row],[TgtAmount]] * (MAX(Table1[RSXFS]) - MIN(RawData!B:B)) +MIN(Table1[RSXFS])</f>
        <v>391112</v>
      </c>
      <c r="L287" s="15">
        <f>Table3[[#This Row],[Prediction]] * (MAX(Table1[RSXFS]) - MIN(RawData!B:B)) +MIN(Table1[RSXFS])</f>
        <v>389139.68571180454</v>
      </c>
      <c r="M287" s="14"/>
    </row>
    <row r="288" spans="1:13" x14ac:dyDescent="0.25">
      <c r="A288">
        <f>NormData!A294</f>
        <v>0.71738779463997415</v>
      </c>
      <c r="B288">
        <f>NormData!B288</f>
        <v>0.50020502701890712</v>
      </c>
      <c r="C288">
        <f>NormData!B289</f>
        <v>0.50227762688330513</v>
      </c>
      <c r="D288">
        <f>NormData!B290</f>
        <v>0.49807964792191922</v>
      </c>
      <c r="E288">
        <f>NormData!B291</f>
        <v>0.50324795277476664</v>
      </c>
      <c r="F288">
        <f>NormData!B292</f>
        <v>0.50115505320552645</v>
      </c>
      <c r="G288">
        <f>NormData!B293</f>
        <v>0.50544641080918684</v>
      </c>
      <c r="H288" s="14">
        <f>NormData!B294</f>
        <v>0.50785598577396684</v>
      </c>
      <c r="I288" s="24">
        <v>0.50683890339100335</v>
      </c>
      <c r="J288" s="22">
        <v>42309</v>
      </c>
      <c r="K288" s="16">
        <f>Table3[[#This Row],[TgtAmount]] * (MAX(Table1[RSXFS]) - MIN(RawData!B:B)) +MIN(Table1[RSXFS])</f>
        <v>392299</v>
      </c>
      <c r="L288" s="15">
        <f>Table3[[#This Row],[Prediction]] * (MAX(Table1[RSXFS]) - MIN(RawData!B:B)) +MIN(Table1[RSXFS])</f>
        <v>391797.96691066929</v>
      </c>
      <c r="M288" s="14"/>
    </row>
    <row r="289" spans="1:13" x14ac:dyDescent="0.25">
      <c r="A289">
        <f>NormData!A295</f>
        <v>0.71989021633839201</v>
      </c>
      <c r="B289">
        <f>NormData!B289</f>
        <v>0.50227762688330513</v>
      </c>
      <c r="C289">
        <f>NormData!B290</f>
        <v>0.49807964792191922</v>
      </c>
      <c r="D289">
        <f>NormData!B291</f>
        <v>0.50324795277476664</v>
      </c>
      <c r="E289">
        <f>NormData!B292</f>
        <v>0.50115505320552645</v>
      </c>
      <c r="F289">
        <f>NormData!B293</f>
        <v>0.50544641080918684</v>
      </c>
      <c r="G289">
        <f>NormData!B294</f>
        <v>0.50785598577396684</v>
      </c>
      <c r="H289" s="14">
        <f>NormData!B295</f>
        <v>0.517628263685046</v>
      </c>
      <c r="I289" s="24">
        <v>0.5098443022785617</v>
      </c>
      <c r="J289" s="22">
        <v>42339</v>
      </c>
      <c r="K289" s="16">
        <f>Table3[[#This Row],[TgtAmount]] * (MAX(Table1[RSXFS]) - MIN(RawData!B:B)) +MIN(Table1[RSXFS])</f>
        <v>397113</v>
      </c>
      <c r="L289" s="15">
        <f>Table3[[#This Row],[Prediction]] * (MAX(Table1[RSXFS]) - MIN(RawData!B:B)) +MIN(Table1[RSXFS])</f>
        <v>393278.48049986048</v>
      </c>
      <c r="M289" s="14"/>
    </row>
    <row r="290" spans="1:13" x14ac:dyDescent="0.25">
      <c r="A290">
        <f>NormData!A296</f>
        <v>0.7223119147562157</v>
      </c>
      <c r="B290">
        <f>NormData!B290</f>
        <v>0.49807964792191922</v>
      </c>
      <c r="C290">
        <f>NormData!B291</f>
        <v>0.50324795277476664</v>
      </c>
      <c r="D290">
        <f>NormData!B292</f>
        <v>0.50115505320552645</v>
      </c>
      <c r="E290">
        <f>NormData!B293</f>
        <v>0.50544641080918684</v>
      </c>
      <c r="F290">
        <f>NormData!B294</f>
        <v>0.50785598577396684</v>
      </c>
      <c r="G290">
        <f>NormData!B295</f>
        <v>0.517628263685046</v>
      </c>
      <c r="H290" s="14">
        <f>NormData!B296</f>
        <v>0.51647524045000381</v>
      </c>
      <c r="I290" s="24">
        <v>0.51987172893865041</v>
      </c>
      <c r="J290" s="22">
        <v>42370</v>
      </c>
      <c r="K290" s="16">
        <f>Table3[[#This Row],[TgtAmount]] * (MAX(Table1[RSXFS]) - MIN(RawData!B:B)) +MIN(Table1[RSXFS])</f>
        <v>396545</v>
      </c>
      <c r="L290" s="15">
        <f>Table3[[#This Row],[Prediction]] * (MAX(Table1[RSXFS]) - MIN(RawData!B:B)) +MIN(Table1[RSXFS])</f>
        <v>398218.17136630008</v>
      </c>
      <c r="M290" s="14"/>
    </row>
    <row r="291" spans="1:13" x14ac:dyDescent="0.25">
      <c r="A291">
        <f>NormData!A297</f>
        <v>0.72481433645463356</v>
      </c>
      <c r="B291">
        <f>NormData!B291</f>
        <v>0.50324795277476664</v>
      </c>
      <c r="C291">
        <f>NormData!B292</f>
        <v>0.50115505320552645</v>
      </c>
      <c r="D291">
        <f>NormData!B293</f>
        <v>0.50544641080918684</v>
      </c>
      <c r="E291">
        <f>NormData!B294</f>
        <v>0.50785598577396684</v>
      </c>
      <c r="F291">
        <f>NormData!B295</f>
        <v>0.517628263685046</v>
      </c>
      <c r="G291">
        <f>NormData!B296</f>
        <v>0.51647524045000381</v>
      </c>
      <c r="H291" s="14">
        <f>NormData!B297</f>
        <v>0.51596368788797808</v>
      </c>
      <c r="I291" s="24">
        <v>0.5179663864612436</v>
      </c>
      <c r="J291" s="22">
        <v>42401</v>
      </c>
      <c r="K291" s="16">
        <f>Table3[[#This Row],[TgtAmount]] * (MAX(Table1[RSXFS]) - MIN(RawData!B:B)) +MIN(Table1[RSXFS])</f>
        <v>396293</v>
      </c>
      <c r="L291" s="15">
        <f>Table3[[#This Row],[Prediction]] * (MAX(Table1[RSXFS]) - MIN(RawData!B:B)) +MIN(Table1[RSXFS])</f>
        <v>397279.56536576489</v>
      </c>
      <c r="M291" s="14"/>
    </row>
    <row r="292" spans="1:13" x14ac:dyDescent="0.25">
      <c r="A292">
        <f>NormData!A298</f>
        <v>0.7273167581530513</v>
      </c>
      <c r="B292">
        <f>NormData!B292</f>
        <v>0.50115505320552645</v>
      </c>
      <c r="C292">
        <f>NormData!B293</f>
        <v>0.50544641080918684</v>
      </c>
      <c r="D292">
        <f>NormData!B294</f>
        <v>0.50785598577396684</v>
      </c>
      <c r="E292">
        <f>NormData!B295</f>
        <v>0.517628263685046</v>
      </c>
      <c r="F292">
        <f>NormData!B296</f>
        <v>0.51647524045000381</v>
      </c>
      <c r="G292">
        <f>NormData!B297</f>
        <v>0.51596368788797808</v>
      </c>
      <c r="H292" s="14">
        <f>NormData!B298</f>
        <v>0.52104673398048795</v>
      </c>
      <c r="I292" s="24">
        <v>0.5191668181715634</v>
      </c>
      <c r="J292" s="22">
        <v>42430</v>
      </c>
      <c r="K292" s="16">
        <f>Table3[[#This Row],[TgtAmount]] * (MAX(Table1[RSXFS]) - MIN(RawData!B:B)) +MIN(Table1[RSXFS])</f>
        <v>398797</v>
      </c>
      <c r="L292" s="15">
        <f>Table3[[#This Row],[Prediction]] * (MAX(Table1[RSXFS]) - MIN(RawData!B:B)) +MIN(Table1[RSXFS])</f>
        <v>397870.91963403922</v>
      </c>
      <c r="M292" s="14"/>
    </row>
    <row r="293" spans="1:13" x14ac:dyDescent="0.25">
      <c r="A293">
        <f>NormData!A299</f>
        <v>0.72973845657087499</v>
      </c>
      <c r="B293">
        <f>NormData!B293</f>
        <v>0.50544641080918684</v>
      </c>
      <c r="C293">
        <f>NormData!B294</f>
        <v>0.50785598577396684</v>
      </c>
      <c r="D293">
        <f>NormData!B295</f>
        <v>0.517628263685046</v>
      </c>
      <c r="E293">
        <f>NormData!B296</f>
        <v>0.51647524045000381</v>
      </c>
      <c r="F293">
        <f>NormData!B297</f>
        <v>0.51596368788797808</v>
      </c>
      <c r="G293">
        <f>NormData!B298</f>
        <v>0.52104673398048795</v>
      </c>
      <c r="H293" s="14">
        <f>NormData!B299</f>
        <v>0.52275190918724046</v>
      </c>
      <c r="I293" s="24">
        <v>0.52247641401106015</v>
      </c>
      <c r="J293" s="22">
        <v>42461</v>
      </c>
      <c r="K293" s="16">
        <f>Table3[[#This Row],[TgtAmount]] * (MAX(Table1[RSXFS]) - MIN(RawData!B:B)) +MIN(Table1[RSXFS])</f>
        <v>399637</v>
      </c>
      <c r="L293" s="15">
        <f>Table3[[#This Row],[Prediction]] * (MAX(Table1[RSXFS]) - MIN(RawData!B:B)) +MIN(Table1[RSXFS])</f>
        <v>399501.28611730039</v>
      </c>
      <c r="M293" s="14"/>
    </row>
    <row r="294" spans="1:13" x14ac:dyDescent="0.25">
      <c r="A294">
        <f>NormData!A300</f>
        <v>0.73224087826929285</v>
      </c>
      <c r="B294">
        <f>NormData!B294</f>
        <v>0.50785598577396684</v>
      </c>
      <c r="C294">
        <f>NormData!B295</f>
        <v>0.517628263685046</v>
      </c>
      <c r="D294">
        <f>NormData!B296</f>
        <v>0.51647524045000381</v>
      </c>
      <c r="E294">
        <f>NormData!B297</f>
        <v>0.51596368788797808</v>
      </c>
      <c r="F294">
        <f>NormData!B298</f>
        <v>0.52104673398048795</v>
      </c>
      <c r="G294">
        <f>NormData!B299</f>
        <v>0.52275190918724046</v>
      </c>
      <c r="H294" s="14">
        <f>NormData!B300</f>
        <v>0.52080922743383307</v>
      </c>
      <c r="I294" s="24">
        <v>0.52294621487808912</v>
      </c>
      <c r="J294" s="22">
        <v>42491</v>
      </c>
      <c r="K294" s="16">
        <f>Table3[[#This Row],[TgtAmount]] * (MAX(Table1[RSXFS]) - MIN(RawData!B:B)) +MIN(Table1[RSXFS])</f>
        <v>398680</v>
      </c>
      <c r="L294" s="15">
        <f>Table3[[#This Row],[Prediction]] * (MAX(Table1[RSXFS]) - MIN(RawData!B:B)) +MIN(Table1[RSXFS])</f>
        <v>399732.71848081448</v>
      </c>
      <c r="M294" s="14"/>
    </row>
    <row r="295" spans="1:13" x14ac:dyDescent="0.25">
      <c r="A295">
        <f>NormData!A301</f>
        <v>0.73466257668711654</v>
      </c>
      <c r="B295">
        <f>NormData!B295</f>
        <v>0.517628263685046</v>
      </c>
      <c r="C295">
        <f>NormData!B296</f>
        <v>0.51647524045000381</v>
      </c>
      <c r="D295">
        <f>NormData!B297</f>
        <v>0.51596368788797808</v>
      </c>
      <c r="E295">
        <f>NormData!B298</f>
        <v>0.52104673398048795</v>
      </c>
      <c r="F295">
        <f>NormData!B299</f>
        <v>0.52275190918724046</v>
      </c>
      <c r="G295">
        <f>NormData!B300</f>
        <v>0.52080922743383307</v>
      </c>
      <c r="H295" s="14">
        <f>NormData!B301</f>
        <v>0.53387005752936356</v>
      </c>
      <c r="I295" s="24">
        <v>0.52117152518638021</v>
      </c>
      <c r="J295" s="22">
        <v>42522</v>
      </c>
      <c r="K295" s="16">
        <f>Table3[[#This Row],[TgtAmount]] * (MAX(Table1[RSXFS]) - MIN(RawData!B:B)) +MIN(Table1[RSXFS])</f>
        <v>405114</v>
      </c>
      <c r="L295" s="15">
        <f>Table3[[#This Row],[Prediction]] * (MAX(Table1[RSXFS]) - MIN(RawData!B:B)) +MIN(Table1[RSXFS])</f>
        <v>398858.47439426428</v>
      </c>
      <c r="M295" s="14"/>
    </row>
    <row r="296" spans="1:13" x14ac:dyDescent="0.25">
      <c r="A296">
        <f>NormData!A302</f>
        <v>0.7371649983855344</v>
      </c>
      <c r="B296">
        <f>NormData!B296</f>
        <v>0.51647524045000381</v>
      </c>
      <c r="C296">
        <f>NormData!B297</f>
        <v>0.51596368788797808</v>
      </c>
      <c r="D296">
        <f>NormData!B298</f>
        <v>0.52104673398048795</v>
      </c>
      <c r="E296">
        <f>NormData!B299</f>
        <v>0.52275190918724046</v>
      </c>
      <c r="F296">
        <f>NormData!B300</f>
        <v>0.52080922743383307</v>
      </c>
      <c r="G296">
        <f>NormData!B301</f>
        <v>0.53387005752936356</v>
      </c>
      <c r="H296" s="14">
        <f>NormData!B302</f>
        <v>0.54027461440710656</v>
      </c>
      <c r="I296" s="24">
        <v>0.53396759049500564</v>
      </c>
      <c r="J296" s="22">
        <v>42552</v>
      </c>
      <c r="K296" s="16">
        <f>Table3[[#This Row],[TgtAmount]] * (MAX(Table1[RSXFS]) - MIN(RawData!B:B)) +MIN(Table1[RSXFS])</f>
        <v>408269</v>
      </c>
      <c r="L296" s="15">
        <f>Table3[[#This Row],[Prediction]] * (MAX(Table1[RSXFS]) - MIN(RawData!B:B)) +MIN(Table1[RSXFS])</f>
        <v>405162.0464944687</v>
      </c>
      <c r="M296" s="14"/>
    </row>
    <row r="297" spans="1:13" x14ac:dyDescent="0.25">
      <c r="A297">
        <f>NormData!A303</f>
        <v>0.73966742008395225</v>
      </c>
      <c r="B297">
        <f>NormData!B297</f>
        <v>0.51596368788797808</v>
      </c>
      <c r="C297">
        <f>NormData!B298</f>
        <v>0.52104673398048795</v>
      </c>
      <c r="D297">
        <f>NormData!B299</f>
        <v>0.52275190918724046</v>
      </c>
      <c r="E297">
        <f>NormData!B300</f>
        <v>0.52080922743383307</v>
      </c>
      <c r="F297">
        <f>NormData!B301</f>
        <v>0.53387005752936356</v>
      </c>
      <c r="G297">
        <f>NormData!B302</f>
        <v>0.54027461440710656</v>
      </c>
      <c r="H297" s="14">
        <f>NormData!B303</f>
        <v>0.54004319777190435</v>
      </c>
      <c r="I297" s="24">
        <v>0.53812649395226564</v>
      </c>
      <c r="J297" s="22">
        <v>42583</v>
      </c>
      <c r="K297" s="16">
        <f>Table3[[#This Row],[TgtAmount]] * (MAX(Table1[RSXFS]) - MIN(RawData!B:B)) +MIN(Table1[RSXFS])</f>
        <v>408155</v>
      </c>
      <c r="L297" s="15">
        <f>Table3[[#This Row],[Prediction]] * (MAX(Table1[RSXFS]) - MIN(RawData!B:B)) +MIN(Table1[RSXFS])</f>
        <v>407210.7971977772</v>
      </c>
      <c r="M297" s="14"/>
    </row>
    <row r="298" spans="1:13" x14ac:dyDescent="0.25">
      <c r="A298">
        <f>NormData!A304</f>
        <v>0.74192767194058762</v>
      </c>
      <c r="B298">
        <f>NormData!B298</f>
        <v>0.52104673398048795</v>
      </c>
      <c r="C298">
        <f>NormData!B299</f>
        <v>0.52275190918724046</v>
      </c>
      <c r="D298">
        <f>NormData!B300</f>
        <v>0.52080922743383307</v>
      </c>
      <c r="E298">
        <f>NormData!B301</f>
        <v>0.53387005752936356</v>
      </c>
      <c r="F298">
        <f>NormData!B302</f>
        <v>0.54027461440710656</v>
      </c>
      <c r="G298">
        <f>NormData!B303</f>
        <v>0.54004319777190435</v>
      </c>
      <c r="H298" s="14">
        <f>NormData!B304</f>
        <v>0.53897746326768414</v>
      </c>
      <c r="I298" s="24">
        <v>0.53758368002348844</v>
      </c>
      <c r="J298" s="22">
        <v>42614</v>
      </c>
      <c r="K298" s="16">
        <f>Table3[[#This Row],[TgtAmount]] * (MAX(Table1[RSXFS]) - MIN(RawData!B:B)) +MIN(Table1[RSXFS])</f>
        <v>407630</v>
      </c>
      <c r="L298" s="15">
        <f>Table3[[#This Row],[Prediction]] * (MAX(Table1[RSXFS]) - MIN(RawData!B:B)) +MIN(Table1[RSXFS])</f>
        <v>406943.39728581085</v>
      </c>
      <c r="M298" s="14"/>
    </row>
    <row r="299" spans="1:13" x14ac:dyDescent="0.25">
      <c r="A299">
        <f>NormData!A305</f>
        <v>0.74443009363900547</v>
      </c>
      <c r="B299">
        <f>NormData!B299</f>
        <v>0.52275190918724046</v>
      </c>
      <c r="C299">
        <f>NormData!B300</f>
        <v>0.52080922743383307</v>
      </c>
      <c r="D299">
        <f>NormData!B301</f>
        <v>0.53387005752936356</v>
      </c>
      <c r="E299">
        <f>NormData!B302</f>
        <v>0.54027461440710656</v>
      </c>
      <c r="F299">
        <f>NormData!B303</f>
        <v>0.54004319777190435</v>
      </c>
      <c r="G299">
        <f>NormData!B304</f>
        <v>0.53897746326768414</v>
      </c>
      <c r="H299" s="14">
        <f>NormData!B305</f>
        <v>0.54203053887596475</v>
      </c>
      <c r="I299" s="24">
        <v>0.53694800698713419</v>
      </c>
      <c r="J299" s="22">
        <v>42644</v>
      </c>
      <c r="K299" s="16">
        <f>Table3[[#This Row],[TgtAmount]] * (MAX(Table1[RSXFS]) - MIN(RawData!B:B)) +MIN(Table1[RSXFS])</f>
        <v>409134</v>
      </c>
      <c r="L299" s="15">
        <f>Table3[[#This Row],[Prediction]] * (MAX(Table1[RSXFS]) - MIN(RawData!B:B)) +MIN(Table1[RSXFS])</f>
        <v>406630.2533059881</v>
      </c>
      <c r="M299" s="14"/>
    </row>
    <row r="300" spans="1:13" x14ac:dyDescent="0.25">
      <c r="A300">
        <f>NormData!A306</f>
        <v>0.74685179205682917</v>
      </c>
      <c r="B300">
        <f>NormData!B300</f>
        <v>0.52080922743383307</v>
      </c>
      <c r="C300">
        <f>NormData!B301</f>
        <v>0.53387005752936356</v>
      </c>
      <c r="D300">
        <f>NormData!B302</f>
        <v>0.54027461440710656</v>
      </c>
      <c r="E300">
        <f>NormData!B303</f>
        <v>0.54004319777190435</v>
      </c>
      <c r="F300">
        <f>NormData!B304</f>
        <v>0.53897746326768414</v>
      </c>
      <c r="G300">
        <f>NormData!B305</f>
        <v>0.54203053887596475</v>
      </c>
      <c r="H300" s="14">
        <f>NormData!B306</f>
        <v>0.53690486340328614</v>
      </c>
      <c r="I300" s="24">
        <v>0.53888224364623005</v>
      </c>
      <c r="J300" s="22">
        <v>42675</v>
      </c>
      <c r="K300" s="16">
        <f>Table3[[#This Row],[TgtAmount]] * (MAX(Table1[RSXFS]) - MIN(RawData!B:B)) +MIN(Table1[RSXFS])</f>
        <v>406609</v>
      </c>
      <c r="L300" s="15">
        <f>Table3[[#This Row],[Prediction]] * (MAX(Table1[RSXFS]) - MIN(RawData!B:B)) +MIN(Table1[RSXFS])</f>
        <v>407583.09310051857</v>
      </c>
      <c r="M300" s="14"/>
    </row>
    <row r="301" spans="1:13" x14ac:dyDescent="0.25">
      <c r="A301">
        <f>NormData!A307</f>
        <v>0.74935421375524702</v>
      </c>
      <c r="B301">
        <f>NormData!B301</f>
        <v>0.53387005752936356</v>
      </c>
      <c r="C301">
        <f>NormData!B302</f>
        <v>0.54027461440710656</v>
      </c>
      <c r="D301">
        <f>NormData!B303</f>
        <v>0.54004319777190435</v>
      </c>
      <c r="E301">
        <f>NormData!B304</f>
        <v>0.53897746326768414</v>
      </c>
      <c r="F301">
        <f>NormData!B305</f>
        <v>0.54203053887596475</v>
      </c>
      <c r="G301">
        <f>NormData!B306</f>
        <v>0.53690486340328614</v>
      </c>
      <c r="H301" s="14">
        <f>NormData!B307</f>
        <v>0.54189453085352135</v>
      </c>
      <c r="I301" s="24">
        <v>0.53253620030667759</v>
      </c>
      <c r="J301" s="22">
        <v>42705</v>
      </c>
      <c r="K301" s="16">
        <f>Table3[[#This Row],[TgtAmount]] * (MAX(Table1[RSXFS]) - MIN(RawData!B:B)) +MIN(Table1[RSXFS])</f>
        <v>409067</v>
      </c>
      <c r="L301" s="15">
        <f>Table3[[#This Row],[Prediction]] * (MAX(Table1[RSXFS]) - MIN(RawData!B:B)) +MIN(Table1[RSXFS])</f>
        <v>404456.91792267491</v>
      </c>
      <c r="M301" s="14"/>
    </row>
    <row r="302" spans="1:13" x14ac:dyDescent="0.25">
      <c r="A302">
        <f>NormData!A308</f>
        <v>0.75177591217307072</v>
      </c>
      <c r="B302">
        <f>NormData!B302</f>
        <v>0.54027461440710656</v>
      </c>
      <c r="C302">
        <f>NormData!B303</f>
        <v>0.54004319777190435</v>
      </c>
      <c r="D302">
        <f>NormData!B304</f>
        <v>0.53897746326768414</v>
      </c>
      <c r="E302">
        <f>NormData!B305</f>
        <v>0.54203053887596475</v>
      </c>
      <c r="F302">
        <f>NormData!B306</f>
        <v>0.53690486340328614</v>
      </c>
      <c r="G302">
        <f>NormData!B307</f>
        <v>0.54189453085352135</v>
      </c>
      <c r="H302" s="14">
        <f>NormData!B308</f>
        <v>0.54198790949579589</v>
      </c>
      <c r="I302" s="24">
        <v>0.53856680421709724</v>
      </c>
      <c r="J302" s="22">
        <v>42736</v>
      </c>
      <c r="K302" s="16">
        <f>Table3[[#This Row],[TgtAmount]] * (MAX(Table1[RSXFS]) - MIN(RawData!B:B)) +MIN(Table1[RSXFS])</f>
        <v>409113</v>
      </c>
      <c r="L302" s="15">
        <f>Table3[[#This Row],[Prediction]] * (MAX(Table1[RSXFS]) - MIN(RawData!B:B)) +MIN(Table1[RSXFS])</f>
        <v>407427.70195981802</v>
      </c>
      <c r="M302" s="14"/>
    </row>
    <row r="303" spans="1:13" x14ac:dyDescent="0.25">
      <c r="A303">
        <f>NormData!A309</f>
        <v>0.75427833387148857</v>
      </c>
      <c r="B303">
        <f>NormData!B303</f>
        <v>0.54004319777190435</v>
      </c>
      <c r="C303">
        <f>NormData!B304</f>
        <v>0.53897746326768414</v>
      </c>
      <c r="D303">
        <f>NormData!B305</f>
        <v>0.54203053887596475</v>
      </c>
      <c r="E303">
        <f>NormData!B306</f>
        <v>0.53690486340328614</v>
      </c>
      <c r="F303">
        <f>NormData!B307</f>
        <v>0.54189453085352135</v>
      </c>
      <c r="G303">
        <f>NormData!B308</f>
        <v>0.54198790949579589</v>
      </c>
      <c r="H303" s="14">
        <f>NormData!B309</f>
        <v>0.54298868494452091</v>
      </c>
      <c r="I303" s="24">
        <v>0.53989482942674627</v>
      </c>
      <c r="J303" s="22">
        <v>42767</v>
      </c>
      <c r="K303" s="16">
        <f>Table3[[#This Row],[TgtAmount]] * (MAX(Table1[RSXFS]) - MIN(RawData!B:B)) +MIN(Table1[RSXFS])</f>
        <v>409606</v>
      </c>
      <c r="L303" s="15">
        <f>Table3[[#This Row],[Prediction]] * (MAX(Table1[RSXFS]) - MIN(RawData!B:B)) +MIN(Table1[RSXFS])</f>
        <v>408081.91108254489</v>
      </c>
      <c r="M303" s="14"/>
    </row>
    <row r="304" spans="1:13" x14ac:dyDescent="0.25">
      <c r="A304">
        <f>NormData!A310</f>
        <v>0.75678075556990632</v>
      </c>
      <c r="B304">
        <f>NormData!B304</f>
        <v>0.53897746326768414</v>
      </c>
      <c r="C304">
        <f>NormData!B305</f>
        <v>0.54203053887596475</v>
      </c>
      <c r="D304">
        <f>NormData!B306</f>
        <v>0.53690486340328614</v>
      </c>
      <c r="E304">
        <f>NormData!B307</f>
        <v>0.54189453085352135</v>
      </c>
      <c r="F304">
        <f>NormData!B308</f>
        <v>0.54198790949579589</v>
      </c>
      <c r="G304">
        <f>NormData!B309</f>
        <v>0.54298868494452091</v>
      </c>
      <c r="H304" s="14">
        <f>NormData!B310</f>
        <v>0.56210085705353841</v>
      </c>
      <c r="I304" s="24">
        <v>0.54346260527135415</v>
      </c>
      <c r="J304" s="22">
        <v>42795</v>
      </c>
      <c r="K304" s="16">
        <f>Table3[[#This Row],[TgtAmount]] * (MAX(Table1[RSXFS]) - MIN(RawData!B:B)) +MIN(Table1[RSXFS])</f>
        <v>419021</v>
      </c>
      <c r="L304" s="15">
        <f>Table3[[#This Row],[Prediction]] * (MAX(Table1[RSXFS]) - MIN(RawData!B:B)) +MIN(Table1[RSXFS])</f>
        <v>409839.46168356395</v>
      </c>
      <c r="M304" s="14"/>
    </row>
    <row r="305" spans="1:13" x14ac:dyDescent="0.25">
      <c r="A305">
        <f>NormData!A311</f>
        <v>0.75920245398773001</v>
      </c>
      <c r="B305">
        <f>NormData!B305</f>
        <v>0.54203053887596475</v>
      </c>
      <c r="C305">
        <f>NormData!B306</f>
        <v>0.53690486340328614</v>
      </c>
      <c r="D305">
        <f>NormData!B307</f>
        <v>0.54189453085352135</v>
      </c>
      <c r="E305">
        <f>NormData!B308</f>
        <v>0.54198790949579589</v>
      </c>
      <c r="F305">
        <f>NormData!B309</f>
        <v>0.54298868494452091</v>
      </c>
      <c r="G305">
        <f>NormData!B310</f>
        <v>0.56210085705353841</v>
      </c>
      <c r="H305" s="14">
        <f>NormData!B311</f>
        <v>0.5620561977028854</v>
      </c>
      <c r="I305" s="24">
        <v>0.56057957349955312</v>
      </c>
      <c r="J305" s="22">
        <v>42826</v>
      </c>
      <c r="K305" s="16">
        <f>Table3[[#This Row],[TgtAmount]] * (MAX(Table1[RSXFS]) - MIN(RawData!B:B)) +MIN(Table1[RSXFS])</f>
        <v>418999</v>
      </c>
      <c r="L305" s="15">
        <f>Table3[[#This Row],[Prediction]] * (MAX(Table1[RSXFS]) - MIN(RawData!B:B)) +MIN(Table1[RSXFS])</f>
        <v>418271.58833820286</v>
      </c>
      <c r="M305" s="14"/>
    </row>
    <row r="306" spans="1:13" x14ac:dyDescent="0.25">
      <c r="A306">
        <f>NormData!A312</f>
        <v>0.76170487568614786</v>
      </c>
      <c r="B306">
        <f>NormData!B306</f>
        <v>0.53690486340328614</v>
      </c>
      <c r="C306">
        <f>NormData!B307</f>
        <v>0.54189453085352135</v>
      </c>
      <c r="D306">
        <f>NormData!B308</f>
        <v>0.54198790949579589</v>
      </c>
      <c r="E306">
        <f>NormData!B309</f>
        <v>0.54298868494452091</v>
      </c>
      <c r="F306">
        <f>NormData!B310</f>
        <v>0.56210085705353841</v>
      </c>
      <c r="G306">
        <f>NormData!B311</f>
        <v>0.5620561977028854</v>
      </c>
      <c r="H306" s="14">
        <f>NormData!B312</f>
        <v>0.57063282299875362</v>
      </c>
      <c r="I306" s="24">
        <v>0.55970860055255733</v>
      </c>
      <c r="J306" s="22">
        <v>42856</v>
      </c>
      <c r="K306" s="16">
        <f>Table3[[#This Row],[TgtAmount]] * (MAX(Table1[RSXFS]) - MIN(RawData!B:B)) +MIN(Table1[RSXFS])</f>
        <v>423224</v>
      </c>
      <c r="L306" s="15">
        <f>Table3[[#This Row],[Prediction]] * (MAX(Table1[RSXFS]) - MIN(RawData!B:B)) +MIN(Table1[RSXFS])</f>
        <v>417842.5313869997</v>
      </c>
      <c r="M306" s="14"/>
    </row>
    <row r="307" spans="1:13" x14ac:dyDescent="0.25">
      <c r="A307">
        <f>NormData!A313</f>
        <v>0.76412657410397156</v>
      </c>
      <c r="B307">
        <f>NormData!B307</f>
        <v>0.54189453085352135</v>
      </c>
      <c r="C307">
        <f>NormData!B308</f>
        <v>0.54198790949579589</v>
      </c>
      <c r="D307">
        <f>NormData!B309</f>
        <v>0.54298868494452091</v>
      </c>
      <c r="E307">
        <f>NormData!B310</f>
        <v>0.56210085705353841</v>
      </c>
      <c r="F307">
        <f>NormData!B311</f>
        <v>0.5620561977028854</v>
      </c>
      <c r="G307">
        <f>NormData!B312</f>
        <v>0.57063282299875362</v>
      </c>
      <c r="H307" s="14">
        <f>NormData!B313</f>
        <v>0.57534438449264946</v>
      </c>
      <c r="I307" s="24">
        <v>0.56769545351712258</v>
      </c>
      <c r="J307" s="22">
        <v>42887</v>
      </c>
      <c r="K307" s="16">
        <f>Table3[[#This Row],[TgtAmount]] * (MAX(Table1[RSXFS]) - MIN(RawData!B:B)) +MIN(Table1[RSXFS])</f>
        <v>425545</v>
      </c>
      <c r="L307" s="15">
        <f>Table3[[#This Row],[Prediction]] * (MAX(Table1[RSXFS]) - MIN(RawData!B:B)) +MIN(Table1[RSXFS])</f>
        <v>421776.99892069789</v>
      </c>
      <c r="M307" s="14"/>
    </row>
    <row r="308" spans="1:13" x14ac:dyDescent="0.25">
      <c r="A308">
        <f>NormData!A314</f>
        <v>0.76662899580238941</v>
      </c>
      <c r="B308">
        <f>NormData!B308</f>
        <v>0.54198790949579589</v>
      </c>
      <c r="C308">
        <f>NormData!B309</f>
        <v>0.54298868494452091</v>
      </c>
      <c r="D308">
        <f>NormData!B310</f>
        <v>0.56210085705353841</v>
      </c>
      <c r="E308">
        <f>NormData!B311</f>
        <v>0.5620561977028854</v>
      </c>
      <c r="F308">
        <f>NormData!B312</f>
        <v>0.57063282299875362</v>
      </c>
      <c r="G308">
        <f>NormData!B313</f>
        <v>0.57534438449264946</v>
      </c>
      <c r="H308" s="14">
        <f>NormData!B314</f>
        <v>0.57058816364810061</v>
      </c>
      <c r="I308" s="24">
        <v>0.56936971914085355</v>
      </c>
      <c r="J308" s="22">
        <v>42917</v>
      </c>
      <c r="K308" s="16">
        <f>Table3[[#This Row],[TgtAmount]] * (MAX(Table1[RSXFS]) - MIN(RawData!B:B)) +MIN(Table1[RSXFS])</f>
        <v>423202</v>
      </c>
      <c r="L308" s="15">
        <f>Table3[[#This Row],[Prediction]] * (MAX(Table1[RSXFS]) - MIN(RawData!B:B)) +MIN(Table1[RSXFS])</f>
        <v>422601.77230372897</v>
      </c>
      <c r="M308" s="14"/>
    </row>
    <row r="309" spans="1:13" x14ac:dyDescent="0.25">
      <c r="A309">
        <f>NormData!A315</f>
        <v>0.76913141750080727</v>
      </c>
      <c r="B309">
        <f>NormData!B309</f>
        <v>0.54298868494452091</v>
      </c>
      <c r="C309">
        <f>NormData!B310</f>
        <v>0.56210085705353841</v>
      </c>
      <c r="D309">
        <f>NormData!B311</f>
        <v>0.5620561977028854</v>
      </c>
      <c r="E309">
        <f>NormData!B312</f>
        <v>0.57063282299875362</v>
      </c>
      <c r="F309">
        <f>NormData!B313</f>
        <v>0.57534438449264946</v>
      </c>
      <c r="G309">
        <f>NormData!B314</f>
        <v>0.57058816364810061</v>
      </c>
      <c r="H309" s="14">
        <f>NormData!B315</f>
        <v>0.5752672456142488</v>
      </c>
      <c r="I309" s="24">
        <v>0.56385297248491728</v>
      </c>
      <c r="J309" s="22">
        <v>42948</v>
      </c>
      <c r="K309" s="16">
        <f>Table3[[#This Row],[TgtAmount]] * (MAX(Table1[RSXFS]) - MIN(RawData!B:B)) +MIN(Table1[RSXFS])</f>
        <v>425507</v>
      </c>
      <c r="L309" s="15">
        <f>Table3[[#This Row],[Prediction]] * (MAX(Table1[RSXFS]) - MIN(RawData!B:B)) +MIN(Table1[RSXFS])</f>
        <v>419884.12359957496</v>
      </c>
      <c r="M309" s="14"/>
    </row>
    <row r="310" spans="1:13" x14ac:dyDescent="0.25">
      <c r="A310">
        <f>NormData!A316</f>
        <v>0.77139166935744263</v>
      </c>
      <c r="B310">
        <f>NormData!B310</f>
        <v>0.56210085705353841</v>
      </c>
      <c r="C310">
        <f>NormData!B311</f>
        <v>0.5620561977028854</v>
      </c>
      <c r="D310">
        <f>NormData!B312</f>
        <v>0.57063282299875362</v>
      </c>
      <c r="E310">
        <f>NormData!B313</f>
        <v>0.57534438449264946</v>
      </c>
      <c r="F310">
        <f>NormData!B314</f>
        <v>0.57058816364810061</v>
      </c>
      <c r="G310">
        <f>NormData!B315</f>
        <v>0.5752672456142488</v>
      </c>
      <c r="H310" s="14">
        <f>NormData!B316</f>
        <v>0.57441465801087255</v>
      </c>
      <c r="I310" s="24">
        <v>0.56618297042179655</v>
      </c>
      <c r="J310" s="22">
        <v>42979</v>
      </c>
      <c r="K310" s="16">
        <f>Table3[[#This Row],[TgtAmount]] * (MAX(Table1[RSXFS]) - MIN(RawData!B:B)) +MIN(Table1[RSXFS])</f>
        <v>425087</v>
      </c>
      <c r="L310" s="15">
        <f>Table3[[#This Row],[Prediction]] * (MAX(Table1[RSXFS]) - MIN(RawData!B:B)) +MIN(Table1[RSXFS])</f>
        <v>421031.92252324458</v>
      </c>
      <c r="M310" s="14"/>
    </row>
    <row r="311" spans="1:13" x14ac:dyDescent="0.25">
      <c r="A311">
        <f>NormData!A317</f>
        <v>0.77389409105586049</v>
      </c>
      <c r="B311">
        <f>NormData!B311</f>
        <v>0.5620561977028854</v>
      </c>
      <c r="C311">
        <f>NormData!B312</f>
        <v>0.57063282299875362</v>
      </c>
      <c r="D311">
        <f>NormData!B313</f>
        <v>0.57534438449264946</v>
      </c>
      <c r="E311">
        <f>NormData!B314</f>
        <v>0.57058816364810061</v>
      </c>
      <c r="F311">
        <f>NormData!B315</f>
        <v>0.5752672456142488</v>
      </c>
      <c r="G311">
        <f>NormData!B316</f>
        <v>0.57441465801087255</v>
      </c>
      <c r="H311" s="14">
        <f>NormData!B317</f>
        <v>0.57606299404406658</v>
      </c>
      <c r="I311" s="24">
        <v>0.56514950494864513</v>
      </c>
      <c r="J311" s="22">
        <v>43009</v>
      </c>
      <c r="K311" s="16">
        <f>Table3[[#This Row],[TgtAmount]] * (MAX(Table1[RSXFS]) - MIN(RawData!B:B)) +MIN(Table1[RSXFS])</f>
        <v>425899</v>
      </c>
      <c r="L311" s="15">
        <f>Table3[[#This Row],[Prediction]] * (MAX(Table1[RSXFS]) - MIN(RawData!B:B)) +MIN(Table1[RSXFS])</f>
        <v>420522.81882879167</v>
      </c>
      <c r="M311" s="14"/>
    </row>
    <row r="312" spans="1:13" x14ac:dyDescent="0.25">
      <c r="A312">
        <f>NormData!A318</f>
        <v>0.77631578947368418</v>
      </c>
      <c r="B312">
        <f>NormData!B312</f>
        <v>0.57063282299875362</v>
      </c>
      <c r="C312">
        <f>NormData!B313</f>
        <v>0.57534438449264946</v>
      </c>
      <c r="D312">
        <f>NormData!B314</f>
        <v>0.57058816364810061</v>
      </c>
      <c r="E312">
        <f>NormData!B315</f>
        <v>0.5752672456142488</v>
      </c>
      <c r="F312">
        <f>NormData!B316</f>
        <v>0.57441465801087255</v>
      </c>
      <c r="G312">
        <f>NormData!B317</f>
        <v>0.57606299404406658</v>
      </c>
      <c r="H312" s="14">
        <f>NormData!B318</f>
        <v>0.58913803393298658</v>
      </c>
      <c r="I312" s="24">
        <v>0.56760947148170515</v>
      </c>
      <c r="J312" s="22">
        <v>43040</v>
      </c>
      <c r="K312" s="16">
        <f>Table3[[#This Row],[TgtAmount]] * (MAX(Table1[RSXFS]) - MIN(RawData!B:B)) +MIN(Table1[RSXFS])</f>
        <v>432340</v>
      </c>
      <c r="L312" s="15">
        <f>Table3[[#This Row],[Prediction]] * (MAX(Table1[RSXFS]) - MIN(RawData!B:B)) +MIN(Table1[RSXFS])</f>
        <v>421734.64262237464</v>
      </c>
      <c r="M312" s="14"/>
    </row>
    <row r="313" spans="1:13" x14ac:dyDescent="0.25">
      <c r="A313">
        <f>NormData!A319</f>
        <v>0.77881821117210204</v>
      </c>
      <c r="B313">
        <f>NormData!B313</f>
        <v>0.57534438449264946</v>
      </c>
      <c r="C313">
        <f>NormData!B314</f>
        <v>0.57058816364810061</v>
      </c>
      <c r="D313">
        <f>NormData!B315</f>
        <v>0.5752672456142488</v>
      </c>
      <c r="E313">
        <f>NormData!B316</f>
        <v>0.57441465801087255</v>
      </c>
      <c r="F313">
        <f>NormData!B317</f>
        <v>0.57606299404406658</v>
      </c>
      <c r="G313">
        <f>NormData!B318</f>
        <v>0.58913803393298658</v>
      </c>
      <c r="H313" s="14">
        <f>NormData!B319</f>
        <v>0.58440414276376418</v>
      </c>
      <c r="I313" s="24">
        <v>0.57955588369095923</v>
      </c>
      <c r="J313" s="22">
        <v>43070</v>
      </c>
      <c r="K313" s="16">
        <f>Table3[[#This Row],[TgtAmount]] * (MAX(Table1[RSXFS]) - MIN(RawData!B:B)) +MIN(Table1[RSXFS])</f>
        <v>430008</v>
      </c>
      <c r="L313" s="15">
        <f>Table3[[#This Row],[Prediction]] * (MAX(Table1[RSXFS]) - MIN(RawData!B:B)) +MIN(Table1[RSXFS])</f>
        <v>427619.66031207296</v>
      </c>
      <c r="M313" s="14"/>
    </row>
    <row r="314" spans="1:13" x14ac:dyDescent="0.25">
      <c r="A314">
        <f>NormData!A320</f>
        <v>0.78123990958992573</v>
      </c>
      <c r="B314">
        <f>NormData!B314</f>
        <v>0.57058816364810061</v>
      </c>
      <c r="C314">
        <f>NormData!B315</f>
        <v>0.5752672456142488</v>
      </c>
      <c r="D314">
        <f>NormData!B316</f>
        <v>0.57441465801087255</v>
      </c>
      <c r="E314">
        <f>NormData!B317</f>
        <v>0.57606299404406658</v>
      </c>
      <c r="F314">
        <f>NormData!B318</f>
        <v>0.58913803393298658</v>
      </c>
      <c r="G314">
        <f>NormData!B319</f>
        <v>0.58440414276376418</v>
      </c>
      <c r="H314" s="14">
        <f>NormData!B320</f>
        <v>0.58858994190224478</v>
      </c>
      <c r="I314" s="24">
        <v>0.57596230313650942</v>
      </c>
      <c r="J314" s="22">
        <v>43101</v>
      </c>
      <c r="K314" s="16">
        <f>Table3[[#This Row],[TgtAmount]] * (MAX(Table1[RSXFS]) - MIN(RawData!B:B)) +MIN(Table1[RSXFS])</f>
        <v>432070</v>
      </c>
      <c r="L314" s="15">
        <f>Table3[[#This Row],[Prediction]] * (MAX(Table1[RSXFS]) - MIN(RawData!B:B)) +MIN(Table1[RSXFS])</f>
        <v>425849.39784650097</v>
      </c>
      <c r="M314" s="14"/>
    </row>
    <row r="315" spans="1:13" x14ac:dyDescent="0.25">
      <c r="A315">
        <f>NormData!A321</f>
        <v>0.78374233128834359</v>
      </c>
      <c r="B315">
        <f>NormData!B315</f>
        <v>0.5752672456142488</v>
      </c>
      <c r="C315">
        <f>NormData!B316</f>
        <v>0.57441465801087255</v>
      </c>
      <c r="D315">
        <f>NormData!B317</f>
        <v>0.57606299404406658</v>
      </c>
      <c r="E315">
        <f>NormData!B318</f>
        <v>0.58913803393298658</v>
      </c>
      <c r="F315">
        <f>NormData!B319</f>
        <v>0.58440414276376418</v>
      </c>
      <c r="G315">
        <f>NormData!B320</f>
        <v>0.58858994190224478</v>
      </c>
      <c r="H315" s="14">
        <f>NormData!B321</f>
        <v>0.58851077305335986</v>
      </c>
      <c r="I315" s="24">
        <v>0.58193949676810597</v>
      </c>
      <c r="J315" s="22">
        <v>43132</v>
      </c>
      <c r="K315" s="16">
        <f>Table3[[#This Row],[TgtAmount]] * (MAX(Table1[RSXFS]) - MIN(RawData!B:B)) +MIN(Table1[RSXFS])</f>
        <v>432031</v>
      </c>
      <c r="L315" s="15">
        <f>Table3[[#This Row],[Prediction]] * (MAX(Table1[RSXFS]) - MIN(RawData!B:B)) +MIN(Table1[RSXFS])</f>
        <v>428793.87101891084</v>
      </c>
      <c r="M315" s="14"/>
    </row>
    <row r="316" spans="1:13" x14ac:dyDescent="0.25">
      <c r="A316">
        <f>NormData!A322</f>
        <v>0.78624475298676133</v>
      </c>
      <c r="B316">
        <f>NormData!B316</f>
        <v>0.57441465801087255</v>
      </c>
      <c r="C316">
        <f>NormData!B317</f>
        <v>0.57606299404406658</v>
      </c>
      <c r="D316">
        <f>NormData!B318</f>
        <v>0.58913803393298658</v>
      </c>
      <c r="E316">
        <f>NormData!B319</f>
        <v>0.58440414276376418</v>
      </c>
      <c r="F316">
        <f>NormData!B320</f>
        <v>0.58858994190224478</v>
      </c>
      <c r="G316">
        <f>NormData!B321</f>
        <v>0.58851077305335986</v>
      </c>
      <c r="H316" s="14">
        <f>NormData!B322</f>
        <v>0.58730700055621188</v>
      </c>
      <c r="I316" s="24">
        <v>0.58171981695339015</v>
      </c>
      <c r="J316" s="22">
        <v>43160</v>
      </c>
      <c r="K316" s="16">
        <f>Table3[[#This Row],[TgtAmount]] * (MAX(Table1[RSXFS]) - MIN(RawData!B:B)) +MIN(Table1[RSXFS])</f>
        <v>431438</v>
      </c>
      <c r="L316" s="15">
        <f>Table3[[#This Row],[Prediction]] * (MAX(Table1[RSXFS]) - MIN(RawData!B:B)) +MIN(Table1[RSXFS])</f>
        <v>428685.65278794518</v>
      </c>
      <c r="M316" s="14"/>
    </row>
    <row r="317" spans="1:13" x14ac:dyDescent="0.25">
      <c r="A317">
        <f>NormData!A323</f>
        <v>0.78866645140458513</v>
      </c>
      <c r="B317">
        <f>NormData!B317</f>
        <v>0.57606299404406658</v>
      </c>
      <c r="C317">
        <f>NormData!B318</f>
        <v>0.58913803393298658</v>
      </c>
      <c r="D317">
        <f>NormData!B319</f>
        <v>0.58440414276376418</v>
      </c>
      <c r="E317">
        <f>NormData!B320</f>
        <v>0.58858994190224478</v>
      </c>
      <c r="F317">
        <f>NormData!B321</f>
        <v>0.58851077305335986</v>
      </c>
      <c r="G317">
        <f>NormData!B322</f>
        <v>0.58730700055621188</v>
      </c>
      <c r="H317" s="14">
        <f>NormData!B323</f>
        <v>0.59635254903393708</v>
      </c>
      <c r="I317" s="24">
        <v>0.58189695932715657</v>
      </c>
      <c r="J317" s="22">
        <v>43191</v>
      </c>
      <c r="K317" s="16">
        <f>Table3[[#This Row],[TgtAmount]] * (MAX(Table1[RSXFS]) - MIN(RawData!B:B)) +MIN(Table1[RSXFS])</f>
        <v>435894</v>
      </c>
      <c r="L317" s="15">
        <f>Table3[[#This Row],[Prediction]] * (MAX(Table1[RSXFS]) - MIN(RawData!B:B)) +MIN(Table1[RSXFS])</f>
        <v>428772.9163098252</v>
      </c>
      <c r="M317" s="14"/>
    </row>
    <row r="318" spans="1:13" x14ac:dyDescent="0.25">
      <c r="A318">
        <f>NormData!A324</f>
        <v>0.79116887310300288</v>
      </c>
      <c r="B318">
        <f>NormData!B318</f>
        <v>0.58913803393298658</v>
      </c>
      <c r="C318">
        <f>NormData!B319</f>
        <v>0.58440414276376418</v>
      </c>
      <c r="D318">
        <f>NormData!B320</f>
        <v>0.58858994190224478</v>
      </c>
      <c r="E318">
        <f>NormData!B321</f>
        <v>0.58851077305335986</v>
      </c>
      <c r="F318">
        <f>NormData!B322</f>
        <v>0.58730700055621188</v>
      </c>
      <c r="G318">
        <f>NormData!B323</f>
        <v>0.59635254903393708</v>
      </c>
      <c r="H318" s="14">
        <f>NormData!B324</f>
        <v>0.60187000881007191</v>
      </c>
      <c r="I318" s="24">
        <v>0.59016023186665256</v>
      </c>
      <c r="J318" s="22">
        <v>43221</v>
      </c>
      <c r="K318" s="16">
        <f>Table3[[#This Row],[TgtAmount]] * (MAX(Table1[RSXFS]) - MIN(RawData!B:B)) +MIN(Table1[RSXFS])</f>
        <v>438612</v>
      </c>
      <c r="L318" s="15">
        <f>Table3[[#This Row],[Prediction]] * (MAX(Table1[RSXFS]) - MIN(RawData!B:B)) +MIN(Table1[RSXFS])</f>
        <v>432843.55310168664</v>
      </c>
      <c r="M318" s="14"/>
    </row>
    <row r="319" spans="1:13" x14ac:dyDescent="0.25">
      <c r="A319">
        <f>NormData!A325</f>
        <v>0.79359057152082657</v>
      </c>
      <c r="B319">
        <f>NormData!B319</f>
        <v>0.58440414276376418</v>
      </c>
      <c r="C319">
        <f>NormData!B320</f>
        <v>0.58858994190224478</v>
      </c>
      <c r="D319">
        <f>NormData!B321</f>
        <v>0.58851077305335986</v>
      </c>
      <c r="E319">
        <f>NormData!B322</f>
        <v>0.58730700055621188</v>
      </c>
      <c r="F319">
        <f>NormData!B323</f>
        <v>0.59635254903393708</v>
      </c>
      <c r="G319">
        <f>NormData!B324</f>
        <v>0.60187000881007191</v>
      </c>
      <c r="H319" s="14">
        <f>NormData!B325</f>
        <v>0.58221989452273359</v>
      </c>
      <c r="I319" s="24">
        <v>0.59537734559729083</v>
      </c>
      <c r="J319" s="22">
        <v>43252</v>
      </c>
      <c r="K319" s="16">
        <f>Table3[[#This Row],[TgtAmount]] * (MAX(Table1[RSXFS]) - MIN(RawData!B:B)) +MIN(Table1[RSXFS])</f>
        <v>428932</v>
      </c>
      <c r="L319" s="15">
        <f>Table3[[#This Row],[Prediction]] * (MAX(Table1[RSXFS]) - MIN(RawData!B:B)) +MIN(Table1[RSXFS])</f>
        <v>435413.5972334462</v>
      </c>
      <c r="M319" s="14"/>
    </row>
    <row r="320" spans="1:13" x14ac:dyDescent="0.25">
      <c r="A320">
        <f>NormData!A326</f>
        <v>0.79609299321924443</v>
      </c>
      <c r="B320">
        <f>NormData!B320</f>
        <v>0.58858994190224478</v>
      </c>
      <c r="C320">
        <f>NormData!B321</f>
        <v>0.58851077305335986</v>
      </c>
      <c r="D320">
        <f>NormData!B322</f>
        <v>0.58730700055621188</v>
      </c>
      <c r="E320">
        <f>NormData!B323</f>
        <v>0.59635254903393708</v>
      </c>
      <c r="F320">
        <f>NormData!B324</f>
        <v>0.60187000881007191</v>
      </c>
      <c r="G320">
        <f>NormData!B325</f>
        <v>0.58221989452273359</v>
      </c>
      <c r="H320" s="14">
        <f>NormData!B326</f>
        <v>0.58488727573901078</v>
      </c>
      <c r="I320" s="24">
        <v>0.58086808996224837</v>
      </c>
      <c r="J320" s="22">
        <v>43282</v>
      </c>
      <c r="K320" s="16">
        <f>Table3[[#This Row],[TgtAmount]] * (MAX(Table1[RSXFS]) - MIN(RawData!B:B)) +MIN(Table1[RSXFS])</f>
        <v>430246</v>
      </c>
      <c r="L320" s="15">
        <f>Table3[[#This Row],[Prediction]] * (MAX(Table1[RSXFS]) - MIN(RawData!B:B)) +MIN(Table1[RSXFS])</f>
        <v>428266.07674102287</v>
      </c>
      <c r="M320" s="14"/>
    </row>
    <row r="321" spans="1:13" x14ac:dyDescent="0.25">
      <c r="A321">
        <f>NormData!A327</f>
        <v>0.79859541491766228</v>
      </c>
      <c r="B321">
        <f>NormData!B321</f>
        <v>0.58851077305335986</v>
      </c>
      <c r="C321">
        <f>NormData!B322</f>
        <v>0.58730700055621188</v>
      </c>
      <c r="D321">
        <f>NormData!B323</f>
        <v>0.59635254903393708</v>
      </c>
      <c r="E321">
        <f>NormData!B324</f>
        <v>0.60187000881007191</v>
      </c>
      <c r="F321">
        <f>NormData!B325</f>
        <v>0.58221989452273359</v>
      </c>
      <c r="G321">
        <f>NormData!B326</f>
        <v>0.58488727573901078</v>
      </c>
      <c r="H321" s="14">
        <f>NormData!B327</f>
        <v>0.58681168775806003</v>
      </c>
      <c r="I321" s="24">
        <v>0.58794135273725467</v>
      </c>
      <c r="J321" s="22">
        <v>43313</v>
      </c>
      <c r="K321" s="16">
        <f>Table3[[#This Row],[TgtAmount]] * (MAX(Table1[RSXFS]) - MIN(RawData!B:B)) +MIN(Table1[RSXFS])</f>
        <v>431194</v>
      </c>
      <c r="L321" s="15">
        <f>Table3[[#This Row],[Prediction]] * (MAX(Table1[RSXFS]) - MIN(RawData!B:B)) +MIN(Table1[RSXFS])</f>
        <v>431750.49330272095</v>
      </c>
      <c r="M321" s="14"/>
    </row>
    <row r="322" spans="1:13" x14ac:dyDescent="0.25">
      <c r="A322">
        <f>NormData!A328</f>
        <v>0.80085566677429776</v>
      </c>
      <c r="B322">
        <f>NormData!B322</f>
        <v>0.58730700055621188</v>
      </c>
      <c r="C322">
        <f>NormData!B323</f>
        <v>0.59635254903393708</v>
      </c>
      <c r="D322">
        <f>NormData!B324</f>
        <v>0.60187000881007191</v>
      </c>
      <c r="E322">
        <f>NormData!B325</f>
        <v>0.58221989452273359</v>
      </c>
      <c r="F322">
        <f>NormData!B326</f>
        <v>0.58488727573901078</v>
      </c>
      <c r="G322">
        <f>NormData!B327</f>
        <v>0.58681168775806003</v>
      </c>
      <c r="H322" s="14">
        <f>NormData!B328</f>
        <v>0.6010255410886326</v>
      </c>
      <c r="I322" s="24">
        <v>0.58915706256472478</v>
      </c>
      <c r="J322" s="22">
        <v>43344</v>
      </c>
      <c r="K322" s="16">
        <f>Table3[[#This Row],[TgtAmount]] * (MAX(Table1[RSXFS]) - MIN(RawData!B:B)) +MIN(Table1[RSXFS])</f>
        <v>438196</v>
      </c>
      <c r="L322" s="15">
        <f>Table3[[#This Row],[Prediction]] * (MAX(Table1[RSXFS]) - MIN(RawData!B:B)) +MIN(Table1[RSXFS])</f>
        <v>432349.37384650961</v>
      </c>
      <c r="M322" s="14"/>
    </row>
    <row r="323" spans="1:13" x14ac:dyDescent="0.25">
      <c r="A323">
        <f>NormData!A329</f>
        <v>0.8033580884727155</v>
      </c>
      <c r="B323">
        <f>NormData!B323</f>
        <v>0.59635254903393708</v>
      </c>
      <c r="C323">
        <f>NormData!B324</f>
        <v>0.60187000881007191</v>
      </c>
      <c r="D323">
        <f>NormData!B325</f>
        <v>0.58221989452273359</v>
      </c>
      <c r="E323">
        <f>NormData!B326</f>
        <v>0.58488727573901078</v>
      </c>
      <c r="F323">
        <f>NormData!B327</f>
        <v>0.58681168775806003</v>
      </c>
      <c r="G323">
        <f>NormData!B328</f>
        <v>0.6010255410886326</v>
      </c>
      <c r="H323" s="14">
        <f>NormData!B329</f>
        <v>0.60008972469540289</v>
      </c>
      <c r="I323" s="24">
        <v>0.60323148508645008</v>
      </c>
      <c r="J323" s="22">
        <v>43374</v>
      </c>
      <c r="K323" s="16">
        <f>Table3[[#This Row],[TgtAmount]] * (MAX(Table1[RSXFS]) - MIN(RawData!B:B)) +MIN(Table1[RSXFS])</f>
        <v>437735</v>
      </c>
      <c r="L323" s="15">
        <f>Table3[[#This Row],[Prediction]] * (MAX(Table1[RSXFS]) - MIN(RawData!B:B)) +MIN(Table1[RSXFS])</f>
        <v>439282.68772031687</v>
      </c>
      <c r="M323" s="14"/>
    </row>
    <row r="324" spans="1:13" x14ac:dyDescent="0.25">
      <c r="A324">
        <f>NormData!A330</f>
        <v>0.8057797868905392</v>
      </c>
      <c r="B324">
        <f>NormData!B324</f>
        <v>0.60187000881007191</v>
      </c>
      <c r="C324">
        <f>NormData!B325</f>
        <v>0.58221989452273359</v>
      </c>
      <c r="D324">
        <f>NormData!B326</f>
        <v>0.58488727573901078</v>
      </c>
      <c r="E324">
        <f>NormData!B327</f>
        <v>0.58681168775806003</v>
      </c>
      <c r="F324">
        <f>NormData!B328</f>
        <v>0.6010255410886326</v>
      </c>
      <c r="G324">
        <f>NormData!B329</f>
        <v>0.60008972469540289</v>
      </c>
      <c r="H324" s="14">
        <f>NormData!B330</f>
        <v>0.60979095363953406</v>
      </c>
      <c r="I324" s="24">
        <v>0.60352111152852739</v>
      </c>
      <c r="J324" s="22">
        <v>43405</v>
      </c>
      <c r="K324" s="16">
        <f>Table3[[#This Row],[TgtAmount]] * (MAX(Table1[RSXFS]) - MIN(RawData!B:B)) +MIN(Table1[RSXFS])</f>
        <v>442514</v>
      </c>
      <c r="L324" s="15">
        <f>Table3[[#This Row],[Prediction]] * (MAX(Table1[RSXFS]) - MIN(RawData!B:B)) +MIN(Table1[RSXFS])</f>
        <v>439425.36291896011</v>
      </c>
      <c r="M324" s="14"/>
    </row>
    <row r="325" spans="1:13" x14ac:dyDescent="0.25">
      <c r="A325">
        <f>NormData!A331</f>
        <v>0.80828220858895705</v>
      </c>
      <c r="B325">
        <f>NormData!B325</f>
        <v>0.58221989452273359</v>
      </c>
      <c r="C325">
        <f>NormData!B326</f>
        <v>0.58488727573901078</v>
      </c>
      <c r="D325">
        <f>NormData!B327</f>
        <v>0.58681168775806003</v>
      </c>
      <c r="E325">
        <f>NormData!B328</f>
        <v>0.6010255410886326</v>
      </c>
      <c r="F325">
        <f>NormData!B329</f>
        <v>0.60008972469540289</v>
      </c>
      <c r="G325">
        <f>NormData!B330</f>
        <v>0.60979095363953406</v>
      </c>
      <c r="H325" s="14">
        <f>NormData!B331</f>
        <v>0.60898302538681093</v>
      </c>
      <c r="I325" s="24">
        <v>0.61575973043397603</v>
      </c>
      <c r="J325" s="22">
        <v>43435</v>
      </c>
      <c r="K325" s="16">
        <f>Table3[[#This Row],[TgtAmount]] * (MAX(Table1[RSXFS]) - MIN(RawData!B:B)) +MIN(Table1[RSXFS])</f>
        <v>442116</v>
      </c>
      <c r="L325" s="15">
        <f>Table3[[#This Row],[Prediction]] * (MAX(Table1[RSXFS]) - MIN(RawData!B:B)) +MIN(Table1[RSXFS])</f>
        <v>445454.32688692439</v>
      </c>
      <c r="M325" s="14"/>
    </row>
    <row r="326" spans="1:13" x14ac:dyDescent="0.25">
      <c r="A326">
        <f>NormData!A332</f>
        <v>0.81070390700678074</v>
      </c>
      <c r="B326">
        <f>NormData!B326</f>
        <v>0.58488727573901078</v>
      </c>
      <c r="C326">
        <f>NormData!B327</f>
        <v>0.58681168775806003</v>
      </c>
      <c r="D326">
        <f>NormData!B328</f>
        <v>0.6010255410886326</v>
      </c>
      <c r="E326">
        <f>NormData!B329</f>
        <v>0.60008972469540289</v>
      </c>
      <c r="F326">
        <f>NormData!B330</f>
        <v>0.60979095363953406</v>
      </c>
      <c r="G326">
        <f>NormData!B331</f>
        <v>0.60898302538681093</v>
      </c>
      <c r="H326" s="14">
        <f>NormData!B332</f>
        <v>0.61545457129053338</v>
      </c>
      <c r="I326" s="24">
        <v>0.61359255021250481</v>
      </c>
      <c r="J326" s="22">
        <v>43466</v>
      </c>
      <c r="K326" s="16">
        <f>Table3[[#This Row],[TgtAmount]] * (MAX(Table1[RSXFS]) - MIN(RawData!B:B)) +MIN(Table1[RSXFS])</f>
        <v>445304</v>
      </c>
      <c r="L326" s="15">
        <f>Table3[[#This Row],[Prediction]] * (MAX(Table1[RSXFS]) - MIN(RawData!B:B)) +MIN(Table1[RSXFS])</f>
        <v>444386.73490058369</v>
      </c>
      <c r="M326" s="14"/>
    </row>
    <row r="327" spans="1:13" x14ac:dyDescent="0.25">
      <c r="A327">
        <f>NormData!A333</f>
        <v>0.8132063287051986</v>
      </c>
      <c r="B327">
        <f>NormData!B327</f>
        <v>0.58681168775806003</v>
      </c>
      <c r="C327">
        <f>NormData!B328</f>
        <v>0.6010255410886326</v>
      </c>
      <c r="D327">
        <f>NormData!B329</f>
        <v>0.60008972469540289</v>
      </c>
      <c r="E327">
        <f>NormData!B330</f>
        <v>0.60979095363953406</v>
      </c>
      <c r="F327">
        <f>NormData!B331</f>
        <v>0.60898302538681093</v>
      </c>
      <c r="G327">
        <f>NormData!B332</f>
        <v>0.61545457129053338</v>
      </c>
      <c r="H327" s="14">
        <f>NormData!B333</f>
        <v>0.62198092639733016</v>
      </c>
      <c r="I327" s="24">
        <v>0.61991856018860969</v>
      </c>
      <c r="J327" s="22">
        <v>43497</v>
      </c>
      <c r="K327" s="16">
        <f>Table3[[#This Row],[TgtAmount]] * (MAX(Table1[RSXFS]) - MIN(RawData!B:B)) +MIN(Table1[RSXFS])</f>
        <v>448519</v>
      </c>
      <c r="L327" s="15">
        <f>Table3[[#This Row],[Prediction]] * (MAX(Table1[RSXFS]) - MIN(RawData!B:B)) +MIN(Table1[RSXFS])</f>
        <v>447503.04128299252</v>
      </c>
      <c r="M327" s="14"/>
    </row>
    <row r="328" spans="1:13" x14ac:dyDescent="0.25">
      <c r="A328">
        <f>NormData!A334</f>
        <v>0.81570875040361646</v>
      </c>
      <c r="B328">
        <f>NormData!B328</f>
        <v>0.6010255410886326</v>
      </c>
      <c r="C328">
        <f>NormData!B329</f>
        <v>0.60008972469540289</v>
      </c>
      <c r="D328">
        <f>NormData!B330</f>
        <v>0.60979095363953406</v>
      </c>
      <c r="E328">
        <f>NormData!B331</f>
        <v>0.60898302538681093</v>
      </c>
      <c r="F328">
        <f>NormData!B332</f>
        <v>0.61545457129053338</v>
      </c>
      <c r="G328">
        <f>NormData!B333</f>
        <v>0.62198092639733016</v>
      </c>
      <c r="H328" s="14">
        <f>NormData!B334</f>
        <v>0.61393412339784581</v>
      </c>
      <c r="I328" s="24">
        <v>0.62411668623677785</v>
      </c>
      <c r="J328" s="22">
        <v>43525</v>
      </c>
      <c r="K328" s="16">
        <f>Table3[[#This Row],[TgtAmount]] * (MAX(Table1[RSXFS]) - MIN(RawData!B:B)) +MIN(Table1[RSXFS])</f>
        <v>444555</v>
      </c>
      <c r="L328" s="15">
        <f>Table3[[#This Row],[Prediction]] * (MAX(Table1[RSXFS]) - MIN(RawData!B:B)) +MIN(Table1[RSXFS])</f>
        <v>449571.113740589</v>
      </c>
      <c r="M328" s="14"/>
    </row>
    <row r="329" spans="1:13" x14ac:dyDescent="0.25">
      <c r="A329">
        <f>NormData!A335</f>
        <v>0.81813044882144015</v>
      </c>
      <c r="B329">
        <f>NormData!B329</f>
        <v>0.60008972469540289</v>
      </c>
      <c r="C329">
        <f>NormData!B330</f>
        <v>0.60979095363953406</v>
      </c>
      <c r="D329">
        <f>NormData!B331</f>
        <v>0.60898302538681093</v>
      </c>
      <c r="E329">
        <f>NormData!B332</f>
        <v>0.61545457129053338</v>
      </c>
      <c r="F329">
        <f>NormData!B333</f>
        <v>0.62198092639733016</v>
      </c>
      <c r="G329">
        <f>NormData!B334</f>
        <v>0.61393412339784581</v>
      </c>
      <c r="H329" s="14">
        <f>NormData!B335</f>
        <v>0.61611025175693945</v>
      </c>
      <c r="I329" s="24">
        <v>0.6185453441782266</v>
      </c>
      <c r="J329" s="22">
        <v>43556</v>
      </c>
      <c r="K329" s="16">
        <f>Table3[[#This Row],[TgtAmount]] * (MAX(Table1[RSXFS]) - MIN(RawData!B:B)) +MIN(Table1[RSXFS])</f>
        <v>445627</v>
      </c>
      <c r="L329" s="15">
        <f>Table3[[#This Row],[Prediction]] * (MAX(Table1[RSXFS]) - MIN(RawData!B:B)) +MIN(Table1[RSXFS])</f>
        <v>446826.57035838964</v>
      </c>
      <c r="M329" s="14"/>
    </row>
    <row r="330" spans="1:13" x14ac:dyDescent="0.25">
      <c r="A330">
        <f>NormData!A336</f>
        <v>0.82063287051985789</v>
      </c>
      <c r="B330">
        <f>NormData!B330</f>
        <v>0.60979095363953406</v>
      </c>
      <c r="C330">
        <f>NormData!B331</f>
        <v>0.60898302538681093</v>
      </c>
      <c r="D330">
        <f>NormData!B332</f>
        <v>0.61545457129053338</v>
      </c>
      <c r="E330">
        <f>NormData!B333</f>
        <v>0.62198092639733016</v>
      </c>
      <c r="F330">
        <f>NormData!B334</f>
        <v>0.61393412339784581</v>
      </c>
      <c r="G330">
        <f>NormData!B335</f>
        <v>0.61611025175693945</v>
      </c>
      <c r="H330" s="14">
        <f>NormData!B336</f>
        <v>0.62303854101961353</v>
      </c>
      <c r="I330" s="24">
        <v>0.62291279548586509</v>
      </c>
      <c r="J330" s="22">
        <v>43586</v>
      </c>
      <c r="K330" s="16">
        <f>Table3[[#This Row],[TgtAmount]] * (MAX(Table1[RSXFS]) - MIN(RawData!B:B)) +MIN(Table1[RSXFS])</f>
        <v>449040</v>
      </c>
      <c r="L330" s="15">
        <f>Table3[[#This Row],[Prediction]] * (MAX(Table1[RSXFS]) - MIN(RawData!B:B)) +MIN(Table1[RSXFS])</f>
        <v>448978.05548665591</v>
      </c>
      <c r="M330" s="14"/>
    </row>
    <row r="331" spans="1:13" x14ac:dyDescent="0.25">
      <c r="A331">
        <f>NormData!A337</f>
        <v>0.82305456893768159</v>
      </c>
      <c r="B331">
        <f>NormData!B331</f>
        <v>0.60898302538681093</v>
      </c>
      <c r="C331">
        <f>NormData!B332</f>
        <v>0.61545457129053338</v>
      </c>
      <c r="D331">
        <f>NormData!B333</f>
        <v>0.62198092639733016</v>
      </c>
      <c r="E331">
        <f>NormData!B334</f>
        <v>0.61393412339784581</v>
      </c>
      <c r="F331">
        <f>NormData!B335</f>
        <v>0.61611025175693945</v>
      </c>
      <c r="G331">
        <f>NormData!B336</f>
        <v>0.62303854101961353</v>
      </c>
      <c r="H331" s="14">
        <f>NormData!B337</f>
        <v>0.62426261322160381</v>
      </c>
      <c r="I331" s="24">
        <v>0.6288739931936711</v>
      </c>
      <c r="J331" s="22">
        <v>43617</v>
      </c>
      <c r="K331" s="16">
        <f>Table3[[#This Row],[TgtAmount]] * (MAX(Table1[RSXFS]) - MIN(RawData!B:B)) +MIN(Table1[RSXFS])</f>
        <v>449643</v>
      </c>
      <c r="L331" s="15">
        <f>Table3[[#This Row],[Prediction]] * (MAX(Table1[RSXFS]) - MIN(RawData!B:B)) +MIN(Table1[RSXFS])</f>
        <v>451914.64877907984</v>
      </c>
      <c r="M331" s="14"/>
    </row>
    <row r="332" spans="1:13" x14ac:dyDescent="0.25">
      <c r="A332">
        <f>NormData!A338</f>
        <v>0.82555699063609944</v>
      </c>
      <c r="B332">
        <f>NormData!B332</f>
        <v>0.61545457129053338</v>
      </c>
      <c r="C332">
        <f>NormData!B333</f>
        <v>0.62198092639733016</v>
      </c>
      <c r="D332">
        <f>NormData!B334</f>
        <v>0.61393412339784581</v>
      </c>
      <c r="E332">
        <f>NormData!B335</f>
        <v>0.61611025175693945</v>
      </c>
      <c r="F332">
        <f>NormData!B336</f>
        <v>0.62303854101961353</v>
      </c>
      <c r="G332">
        <f>NormData!B337</f>
        <v>0.62426261322160381</v>
      </c>
      <c r="H332" s="14">
        <f>NormData!B338</f>
        <v>0.62046859838657942</v>
      </c>
      <c r="I332" s="24">
        <v>0.63101827997944027</v>
      </c>
      <c r="J332" s="22">
        <v>43647</v>
      </c>
      <c r="K332" s="16">
        <f>Table3[[#This Row],[TgtAmount]] * (MAX(Table1[RSXFS]) - MIN(RawData!B:B)) +MIN(Table1[RSXFS])</f>
        <v>447774</v>
      </c>
      <c r="L332" s="15">
        <f>Table3[[#This Row],[Prediction]] * (MAX(Table1[RSXFS]) - MIN(RawData!B:B)) +MIN(Table1[RSXFS])</f>
        <v>452970.96304691193</v>
      </c>
      <c r="M332" s="14"/>
    </row>
    <row r="333" spans="1:13" x14ac:dyDescent="0.25">
      <c r="A333">
        <f>NormData!A339</f>
        <v>0.8280594123345173</v>
      </c>
      <c r="B333">
        <f>NormData!B333</f>
        <v>0.62198092639733016</v>
      </c>
      <c r="C333">
        <f>NormData!B334</f>
        <v>0.61393412339784581</v>
      </c>
      <c r="D333">
        <f>NormData!B335</f>
        <v>0.61611025175693945</v>
      </c>
      <c r="E333">
        <f>NormData!B336</f>
        <v>0.62303854101961353</v>
      </c>
      <c r="F333">
        <f>NormData!B337</f>
        <v>0.62426261322160381</v>
      </c>
      <c r="G333">
        <f>NormData!B338</f>
        <v>0.62046859838657942</v>
      </c>
      <c r="H333" s="14">
        <f>NormData!B339</f>
        <v>0.62087053254245683</v>
      </c>
      <c r="I333" s="24">
        <v>0.63040153708847313</v>
      </c>
      <c r="J333" s="22">
        <v>43678</v>
      </c>
      <c r="K333" s="16">
        <f>Table3[[#This Row],[TgtAmount]] * (MAX(Table1[RSXFS]) - MIN(RawData!B:B)) +MIN(Table1[RSXFS])</f>
        <v>447972</v>
      </c>
      <c r="L333" s="15">
        <f>Table3[[#This Row],[Prediction]] * (MAX(Table1[RSXFS]) - MIN(RawData!B:B)) +MIN(Table1[RSXFS])</f>
        <v>452667.14439744945</v>
      </c>
      <c r="M333" s="14"/>
    </row>
    <row r="334" spans="1:13" x14ac:dyDescent="0.25">
      <c r="A334">
        <f>NormData!A340</f>
        <v>0.83040038747174683</v>
      </c>
      <c r="B334">
        <f>NormData!B334</f>
        <v>0.61393412339784581</v>
      </c>
      <c r="C334">
        <f>NormData!B335</f>
        <v>0.61611025175693945</v>
      </c>
      <c r="D334">
        <f>NormData!B336</f>
        <v>0.62303854101961353</v>
      </c>
      <c r="E334">
        <f>NormData!B337</f>
        <v>0.62426261322160381</v>
      </c>
      <c r="F334">
        <f>NormData!B338</f>
        <v>0.62046859838657942</v>
      </c>
      <c r="G334">
        <f>NormData!B339</f>
        <v>0.62087053254245683</v>
      </c>
      <c r="H334" s="14">
        <f>NormData!B340</f>
        <v>0.56602478999955341</v>
      </c>
      <c r="I334" s="24">
        <v>0.63315462147375567</v>
      </c>
      <c r="J334" s="22">
        <v>43709</v>
      </c>
      <c r="K334" s="16">
        <f>Table3[[#This Row],[TgtAmount]] * (MAX(Table1[RSXFS]) - MIN(RawData!B:B)) +MIN(Table1[RSXFS])</f>
        <v>420954</v>
      </c>
      <c r="L334" s="15">
        <f>Table3[[#This Row],[Prediction]] * (MAX(Table1[RSXFS]) - MIN(RawData!B:B)) +MIN(Table1[RSXFS])</f>
        <v>454023.36332115857</v>
      </c>
      <c r="M334" s="14"/>
    </row>
    <row r="335" spans="1:13" x14ac:dyDescent="0.25">
      <c r="A335">
        <f>NormData!A341</f>
        <v>0.83290280917016468</v>
      </c>
      <c r="B335">
        <f>NormData!B335</f>
        <v>0.61611025175693945</v>
      </c>
      <c r="C335">
        <f>NormData!B336</f>
        <v>0.62303854101961353</v>
      </c>
      <c r="D335">
        <f>NormData!B337</f>
        <v>0.62426261322160381</v>
      </c>
      <c r="E335">
        <f>NormData!B338</f>
        <v>0.62046859838657942</v>
      </c>
      <c r="F335">
        <f>NormData!B339</f>
        <v>0.62087053254245683</v>
      </c>
      <c r="G335">
        <f>NormData!B340</f>
        <v>0.56602478999955341</v>
      </c>
      <c r="H335" s="14">
        <f>NormData!B341</f>
        <v>0.46319054520947267</v>
      </c>
      <c r="I335" s="24">
        <v>0.59106926836765283</v>
      </c>
      <c r="J335" s="22">
        <v>43739</v>
      </c>
      <c r="K335" s="16">
        <f>Table3[[#This Row],[TgtAmount]] * (MAX(Table1[RSXFS]) - MIN(RawData!B:B)) +MIN(Table1[RSXFS])</f>
        <v>370296</v>
      </c>
      <c r="L335" s="15">
        <f>Table3[[#This Row],[Prediction]] * (MAX(Table1[RSXFS]) - MIN(RawData!B:B)) +MIN(Table1[RSXFS])</f>
        <v>433291.36084473639</v>
      </c>
      <c r="M335" s="14"/>
    </row>
    <row r="336" spans="1:13" x14ac:dyDescent="0.25">
      <c r="A336">
        <f>NormData!A342</f>
        <v>0.83532450758798837</v>
      </c>
      <c r="B336">
        <f>NormData!B336</f>
        <v>0.62303854101961353</v>
      </c>
      <c r="C336">
        <f>NormData!B337</f>
        <v>0.62426261322160381</v>
      </c>
      <c r="D336">
        <f>NormData!B338</f>
        <v>0.62046859838657942</v>
      </c>
      <c r="E336">
        <f>NormData!B339</f>
        <v>0.62087053254245683</v>
      </c>
      <c r="F336">
        <f>NormData!B340</f>
        <v>0.56602478999955341</v>
      </c>
      <c r="G336">
        <f>NormData!B341</f>
        <v>0.46319054520947267</v>
      </c>
      <c r="H336" s="14">
        <f>NormData!B342</f>
        <v>0.60054037814290184</v>
      </c>
      <c r="I336" s="24">
        <v>0.51848004938816827</v>
      </c>
      <c r="J336" s="22">
        <v>43770</v>
      </c>
      <c r="K336" s="16">
        <f>Table3[[#This Row],[TgtAmount]] * (MAX(Table1[RSXFS]) - MIN(RawData!B:B)) +MIN(Table1[RSXFS])</f>
        <v>437957</v>
      </c>
      <c r="L336" s="15">
        <f>Table3[[#This Row],[Prediction]] * (MAX(Table1[RSXFS]) - MIN(RawData!B:B)) +MIN(Table1[RSXFS])</f>
        <v>397532.60496950068</v>
      </c>
      <c r="M336" s="14"/>
    </row>
    <row r="337" spans="1:13" x14ac:dyDescent="0.25">
      <c r="A337">
        <f>NormData!A343</f>
        <v>0.83782692928640623</v>
      </c>
      <c r="B337">
        <f>NormData!B337</f>
        <v>0.62426261322160381</v>
      </c>
      <c r="C337">
        <f>NormData!B338</f>
        <v>0.62046859838657942</v>
      </c>
      <c r="D337">
        <f>NormData!B339</f>
        <v>0.62087053254245683</v>
      </c>
      <c r="E337">
        <f>NormData!B340</f>
        <v>0.56602478999955341</v>
      </c>
      <c r="F337">
        <f>NormData!B341</f>
        <v>0.46319054520947267</v>
      </c>
      <c r="G337">
        <f>NormData!B342</f>
        <v>0.60054037814290184</v>
      </c>
      <c r="H337" s="14">
        <f>NormData!B343</f>
        <v>0.65706084633529427</v>
      </c>
      <c r="I337" s="24">
        <v>0.64642836018863492</v>
      </c>
      <c r="J337" s="22">
        <v>43800</v>
      </c>
      <c r="K337" s="16">
        <f>Table3[[#This Row],[TgtAmount]] * (MAX(Table1[RSXFS]) - MIN(RawData!B:B)) +MIN(Table1[RSXFS])</f>
        <v>465800</v>
      </c>
      <c r="L337" s="15">
        <f>Table3[[#This Row],[Prediction]] * (MAX(Table1[RSXFS]) - MIN(RawData!B:B)) +MIN(Table1[RSXFS])</f>
        <v>460562.24593940494</v>
      </c>
      <c r="M337" s="14"/>
    </row>
    <row r="338" spans="1:13" x14ac:dyDescent="0.25">
      <c r="A338">
        <f>NormData!A344</f>
        <v>0.84024862770422992</v>
      </c>
      <c r="B338">
        <f>NormData!B338</f>
        <v>0.62046859838657942</v>
      </c>
      <c r="C338">
        <f>NormData!B339</f>
        <v>0.62087053254245683</v>
      </c>
      <c r="D338">
        <f>NormData!B340</f>
        <v>0.56602478999955341</v>
      </c>
      <c r="E338">
        <f>NormData!B341</f>
        <v>0.46319054520947267</v>
      </c>
      <c r="F338">
        <f>NormData!B342</f>
        <v>0.60054037814290184</v>
      </c>
      <c r="G338">
        <f>NormData!B343</f>
        <v>0.65706084633529427</v>
      </c>
      <c r="H338" s="14">
        <f>NormData!B344</f>
        <v>0.66938885708601792</v>
      </c>
      <c r="I338" s="24">
        <v>0.67262274879333972</v>
      </c>
      <c r="J338" s="22">
        <v>43831</v>
      </c>
      <c r="K338" s="16">
        <f>Table3[[#This Row],[TgtAmount]] * (MAX(Table1[RSXFS]) - MIN(RawData!B:B)) +MIN(Table1[RSXFS])</f>
        <v>471873</v>
      </c>
      <c r="L338" s="15">
        <f>Table3[[#This Row],[Prediction]] * (MAX(Table1[RSXFS]) - MIN(RawData!B:B)) +MIN(Table1[RSXFS])</f>
        <v>473466.07326507743</v>
      </c>
      <c r="M338" s="14"/>
    </row>
    <row r="339" spans="1:13" x14ac:dyDescent="0.25">
      <c r="A339">
        <f>NormData!A345</f>
        <v>0.84275104940264778</v>
      </c>
      <c r="B339">
        <f>NormData!B339</f>
        <v>0.62087053254245683</v>
      </c>
      <c r="C339">
        <f>NormData!B340</f>
        <v>0.56602478999955341</v>
      </c>
      <c r="D339">
        <f>NormData!B341</f>
        <v>0.46319054520947267</v>
      </c>
      <c r="E339">
        <f>NormData!B342</f>
        <v>0.60054037814290184</v>
      </c>
      <c r="F339">
        <f>NormData!B343</f>
        <v>0.65706084633529427</v>
      </c>
      <c r="G339">
        <f>NormData!B344</f>
        <v>0.66938885708601792</v>
      </c>
      <c r="H339" s="14">
        <f>NormData!B345</f>
        <v>0.67308949327876777</v>
      </c>
      <c r="I339" s="24">
        <v>0.69485560041354122</v>
      </c>
      <c r="J339" s="22">
        <v>43862</v>
      </c>
      <c r="K339" s="16">
        <f>Table3[[#This Row],[TgtAmount]] * (MAX(Table1[RSXFS]) - MIN(RawData!B:B)) +MIN(Table1[RSXFS])</f>
        <v>473696</v>
      </c>
      <c r="L339" s="15">
        <f>Table3[[#This Row],[Prediction]] * (MAX(Table1[RSXFS]) - MIN(RawData!B:B)) +MIN(Table1[RSXFS])</f>
        <v>484418.37616451783</v>
      </c>
      <c r="M339" s="14"/>
    </row>
    <row r="340" spans="1:13" x14ac:dyDescent="0.25">
      <c r="A340">
        <f>NormData!A346</f>
        <v>0.84525347110106552</v>
      </c>
      <c r="B340">
        <f>NormData!B340</f>
        <v>0.56602478999955341</v>
      </c>
      <c r="C340">
        <f>NormData!B341</f>
        <v>0.46319054520947267</v>
      </c>
      <c r="D340">
        <f>NormData!B342</f>
        <v>0.60054037814290184</v>
      </c>
      <c r="E340">
        <f>NormData!B343</f>
        <v>0.65706084633529427</v>
      </c>
      <c r="F340">
        <f>NormData!B344</f>
        <v>0.66938885708601792</v>
      </c>
      <c r="G340">
        <f>NormData!B345</f>
        <v>0.67308949327876777</v>
      </c>
      <c r="H340" s="14">
        <f>NormData!B346</f>
        <v>0.69137140745973558</v>
      </c>
      <c r="I340" s="24">
        <v>0.70085721352677555</v>
      </c>
      <c r="J340" s="22">
        <v>43891</v>
      </c>
      <c r="K340" s="16">
        <f>Table3[[#This Row],[TgtAmount]] * (MAX(Table1[RSXFS]) - MIN(RawData!B:B)) +MIN(Table1[RSXFS])</f>
        <v>482702</v>
      </c>
      <c r="L340" s="15">
        <f>Table3[[#This Row],[Prediction]] * (MAX(Table1[RSXFS]) - MIN(RawData!B:B)) +MIN(Table1[RSXFS])</f>
        <v>487374.87881313311</v>
      </c>
      <c r="M340" s="14"/>
    </row>
    <row r="341" spans="1:13" x14ac:dyDescent="0.25">
      <c r="A341">
        <f>NormData!A347</f>
        <v>0.84767516951888922</v>
      </c>
      <c r="B341">
        <f>NormData!B341</f>
        <v>0.46319054520947267</v>
      </c>
      <c r="C341">
        <f>NormData!B342</f>
        <v>0.60054037814290184</v>
      </c>
      <c r="D341">
        <f>NormData!B343</f>
        <v>0.65706084633529427</v>
      </c>
      <c r="E341">
        <f>NormData!B344</f>
        <v>0.66938885708601792</v>
      </c>
      <c r="F341">
        <f>NormData!B345</f>
        <v>0.67308949327876777</v>
      </c>
      <c r="G341">
        <f>NormData!B346</f>
        <v>0.69137140745973558</v>
      </c>
      <c r="H341" s="14">
        <f>NormData!B347</f>
        <v>0.68743529469081521</v>
      </c>
      <c r="I341" s="24">
        <v>0.70473866788424322</v>
      </c>
      <c r="J341" s="22">
        <v>43922</v>
      </c>
      <c r="K341" s="16">
        <f>Table3[[#This Row],[TgtAmount]] * (MAX(Table1[RSXFS]) - MIN(RawData!B:B)) +MIN(Table1[RSXFS])</f>
        <v>480763</v>
      </c>
      <c r="L341" s="15">
        <f>Table3[[#This Row],[Prediction]] * (MAX(Table1[RSXFS]) - MIN(RawData!B:B)) +MIN(Table1[RSXFS])</f>
        <v>489286.95309580013</v>
      </c>
      <c r="M341" s="14"/>
    </row>
    <row r="342" spans="1:13" x14ac:dyDescent="0.25">
      <c r="A342">
        <f>NormData!A348</f>
        <v>0.85017759121730707</v>
      </c>
      <c r="B342">
        <f>NormData!B342</f>
        <v>0.60054037814290184</v>
      </c>
      <c r="C342">
        <f>NormData!B343</f>
        <v>0.65706084633529427</v>
      </c>
      <c r="D342">
        <f>NormData!B344</f>
        <v>0.66938885708601792</v>
      </c>
      <c r="E342">
        <f>NormData!B345</f>
        <v>0.67308949327876777</v>
      </c>
      <c r="F342">
        <f>NormData!B346</f>
        <v>0.69137140745973558</v>
      </c>
      <c r="G342">
        <f>NormData!B347</f>
        <v>0.68743529469081521</v>
      </c>
      <c r="H342" s="14">
        <f>NormData!B348</f>
        <v>0.68198685391114411</v>
      </c>
      <c r="I342" s="24">
        <v>0.68827210042435638</v>
      </c>
      <c r="J342" s="22">
        <v>43952</v>
      </c>
      <c r="K342" s="16">
        <f>Table3[[#This Row],[TgtAmount]] * (MAX(Table1[RSXFS]) - MIN(RawData!B:B)) +MIN(Table1[RSXFS])</f>
        <v>478079</v>
      </c>
      <c r="L342" s="15">
        <f>Table3[[#This Row],[Prediction]] * (MAX(Table1[RSXFS]) - MIN(RawData!B:B)) +MIN(Table1[RSXFS])</f>
        <v>481175.22556684562</v>
      </c>
      <c r="M342" s="14"/>
    </row>
    <row r="343" spans="1:13" x14ac:dyDescent="0.25">
      <c r="A343">
        <f>NormData!A349</f>
        <v>0.85259928963513076</v>
      </c>
      <c r="B343">
        <f>NormData!B343</f>
        <v>0.65706084633529427</v>
      </c>
      <c r="C343">
        <f>NormData!B344</f>
        <v>0.66938885708601792</v>
      </c>
      <c r="D343">
        <f>NormData!B345</f>
        <v>0.67308949327876777</v>
      </c>
      <c r="E343">
        <f>NormData!B346</f>
        <v>0.69137140745973558</v>
      </c>
      <c r="F343">
        <f>NormData!B347</f>
        <v>0.68743529469081521</v>
      </c>
      <c r="G343">
        <f>NormData!B348</f>
        <v>0.68198685391114411</v>
      </c>
      <c r="H343" s="14">
        <f>NormData!B349</f>
        <v>0.69796272162202766</v>
      </c>
      <c r="I343" s="24">
        <v>0.69034232918993921</v>
      </c>
      <c r="J343" s="22">
        <v>43983</v>
      </c>
      <c r="K343" s="16">
        <f>Table3[[#This Row],[TgtAmount]] * (MAX(Table1[RSXFS]) - MIN(RawData!B:B)) +MIN(Table1[RSXFS])</f>
        <v>485949</v>
      </c>
      <c r="L343" s="15">
        <f>Table3[[#This Row],[Prediction]] * (MAX(Table1[RSXFS]) - MIN(RawData!B:B)) +MIN(Table1[RSXFS])</f>
        <v>482195.05752088944</v>
      </c>
      <c r="M343" s="14"/>
    </row>
    <row r="344" spans="1:13" x14ac:dyDescent="0.25">
      <c r="A344">
        <f>NormData!A350</f>
        <v>0.85510171133354862</v>
      </c>
      <c r="B344">
        <f>NormData!B344</f>
        <v>0.66938885708601792</v>
      </c>
      <c r="C344">
        <f>NormData!B345</f>
        <v>0.67308949327876777</v>
      </c>
      <c r="D344">
        <f>NormData!B346</f>
        <v>0.69137140745973558</v>
      </c>
      <c r="E344">
        <f>NormData!B347</f>
        <v>0.68743529469081521</v>
      </c>
      <c r="F344">
        <f>NormData!B348</f>
        <v>0.68198685391114411</v>
      </c>
      <c r="G344">
        <f>NormData!B349</f>
        <v>0.69796272162202766</v>
      </c>
      <c r="H344" s="14">
        <f>NormData!B350</f>
        <v>0.72974190955263507</v>
      </c>
      <c r="I344" s="24">
        <v>0.70477405998555276</v>
      </c>
      <c r="J344" s="22">
        <v>44013</v>
      </c>
      <c r="K344" s="16">
        <f>Table3[[#This Row],[TgtAmount]] * (MAX(Table1[RSXFS]) - MIN(RawData!B:B)) +MIN(Table1[RSXFS])</f>
        <v>501604</v>
      </c>
      <c r="L344" s="15">
        <f>Table3[[#This Row],[Prediction]] * (MAX(Table1[RSXFS]) - MIN(RawData!B:B)) +MIN(Table1[RSXFS])</f>
        <v>489304.38788196305</v>
      </c>
      <c r="M344" s="14"/>
    </row>
    <row r="345" spans="1:13" x14ac:dyDescent="0.25">
      <c r="A345">
        <f>NormData!A351</f>
        <v>0.85760413303196636</v>
      </c>
      <c r="B345">
        <f>NormData!B345</f>
        <v>0.67308949327876777</v>
      </c>
      <c r="C345">
        <f>NormData!B346</f>
        <v>0.69137140745973558</v>
      </c>
      <c r="D345">
        <f>NormData!B347</f>
        <v>0.68743529469081521</v>
      </c>
      <c r="E345">
        <f>NormData!B348</f>
        <v>0.68198685391114411</v>
      </c>
      <c r="F345">
        <f>NormData!B349</f>
        <v>0.69796272162202766</v>
      </c>
      <c r="G345">
        <f>NormData!B350</f>
        <v>0.72974190955263507</v>
      </c>
      <c r="H345" s="14">
        <f>NormData!B351</f>
        <v>0.70376031732498612</v>
      </c>
      <c r="I345" s="24">
        <v>0.72769967951768466</v>
      </c>
      <c r="J345" s="22">
        <v>44044</v>
      </c>
      <c r="K345" s="16">
        <f>Table3[[#This Row],[TgtAmount]] * (MAX(Table1[RSXFS]) - MIN(RawData!B:B)) +MIN(Table1[RSXFS])</f>
        <v>488805</v>
      </c>
      <c r="L345" s="15">
        <f>Table3[[#This Row],[Prediction]] * (MAX(Table1[RSXFS]) - MIN(RawData!B:B)) +MIN(Table1[RSXFS])</f>
        <v>500597.96072464279</v>
      </c>
      <c r="M345" s="14"/>
    </row>
    <row r="346" spans="1:13" x14ac:dyDescent="0.25">
      <c r="A346">
        <f>NormData!A352</f>
        <v>0.85986438488860184</v>
      </c>
      <c r="B346">
        <f>NormData!B346</f>
        <v>0.69137140745973558</v>
      </c>
      <c r="C346">
        <f>NormData!B347</f>
        <v>0.68743529469081521</v>
      </c>
      <c r="D346">
        <f>NormData!B348</f>
        <v>0.68198685391114411</v>
      </c>
      <c r="E346">
        <f>NormData!B349</f>
        <v>0.69796272162202766</v>
      </c>
      <c r="F346">
        <f>NormData!B350</f>
        <v>0.72974190955263507</v>
      </c>
      <c r="G346">
        <f>NormData!B351</f>
        <v>0.70376031732498612</v>
      </c>
      <c r="H346" s="14">
        <f>NormData!B352</f>
        <v>0.80688687786479585</v>
      </c>
      <c r="I346" s="24">
        <v>0.71092384696287103</v>
      </c>
      <c r="J346" s="22">
        <v>44075</v>
      </c>
      <c r="K346" s="16">
        <f>Table3[[#This Row],[TgtAmount]] * (MAX(Table1[RSXFS]) - MIN(RawData!B:B)) +MIN(Table1[RSXFS])</f>
        <v>539607</v>
      </c>
      <c r="L346" s="15">
        <f>Table3[[#This Row],[Prediction]] * (MAX(Table1[RSXFS]) - MIN(RawData!B:B)) +MIN(Table1[RSXFS])</f>
        <v>492333.88364315563</v>
      </c>
      <c r="M346" s="14"/>
    </row>
    <row r="347" spans="1:13" x14ac:dyDescent="0.25">
      <c r="A347">
        <f>NormData!A353</f>
        <v>0.8623668065870197</v>
      </c>
      <c r="B347">
        <f>NormData!B347</f>
        <v>0.68743529469081521</v>
      </c>
      <c r="C347">
        <f>NormData!B348</f>
        <v>0.68198685391114411</v>
      </c>
      <c r="D347">
        <f>NormData!B349</f>
        <v>0.69796272162202766</v>
      </c>
      <c r="E347">
        <f>NormData!B350</f>
        <v>0.72974190955263507</v>
      </c>
      <c r="F347">
        <f>NormData!B351</f>
        <v>0.70376031732498612</v>
      </c>
      <c r="G347">
        <f>NormData!B352</f>
        <v>0.80688687786479585</v>
      </c>
      <c r="H347" s="14">
        <f>NormData!B353</f>
        <v>0.81214856135991786</v>
      </c>
      <c r="I347" s="24">
        <v>0.78461182154247422</v>
      </c>
      <c r="J347" s="22">
        <v>44105</v>
      </c>
      <c r="K347" s="16">
        <f>Table3[[#This Row],[TgtAmount]] * (MAX(Table1[RSXFS]) - MIN(RawData!B:B)) +MIN(Table1[RSXFS])</f>
        <v>542199</v>
      </c>
      <c r="L347" s="15">
        <f>Table3[[#This Row],[Prediction]] * (MAX(Table1[RSXFS]) - MIN(RawData!B:B)) +MIN(Table1[RSXFS])</f>
        <v>528633.90630461054</v>
      </c>
      <c r="M347" s="14"/>
    </row>
    <row r="348" spans="1:13" x14ac:dyDescent="0.25">
      <c r="A348">
        <f>NormData!A354</f>
        <v>0.86478850500484339</v>
      </c>
      <c r="B348">
        <f>NormData!B348</f>
        <v>0.68198685391114411</v>
      </c>
      <c r="C348">
        <f>NormData!B349</f>
        <v>0.69796272162202766</v>
      </c>
      <c r="D348">
        <f>NormData!B350</f>
        <v>0.72974190955263507</v>
      </c>
      <c r="E348">
        <f>NormData!B351</f>
        <v>0.70376031732498612</v>
      </c>
      <c r="F348">
        <f>NormData!B352</f>
        <v>0.80688687786479585</v>
      </c>
      <c r="G348">
        <f>NormData!B353</f>
        <v>0.81214856135991786</v>
      </c>
      <c r="H348" s="14">
        <f>NormData!B354</f>
        <v>0.80076042694339222</v>
      </c>
      <c r="I348" s="24">
        <v>0.77780504298439623</v>
      </c>
      <c r="J348" s="22">
        <v>44136</v>
      </c>
      <c r="K348" s="16">
        <f>Table3[[#This Row],[TgtAmount]] * (MAX(Table1[RSXFS]) - MIN(RawData!B:B)) +MIN(Table1[RSXFS])</f>
        <v>536589</v>
      </c>
      <c r="L348" s="15">
        <f>Table3[[#This Row],[Prediction]] * (MAX(Table1[RSXFS]) - MIN(RawData!B:B)) +MIN(Table1[RSXFS])</f>
        <v>525280.76466488722</v>
      </c>
      <c r="M348" s="14"/>
    </row>
    <row r="349" spans="1:13" x14ac:dyDescent="0.25">
      <c r="A349">
        <f>NormData!A355</f>
        <v>0.86729092670326124</v>
      </c>
      <c r="B349">
        <f>NormData!B349</f>
        <v>0.69796272162202766</v>
      </c>
      <c r="C349">
        <f>NormData!B350</f>
        <v>0.72974190955263507</v>
      </c>
      <c r="D349">
        <f>NormData!B351</f>
        <v>0.70376031732498612</v>
      </c>
      <c r="E349">
        <f>NormData!B352</f>
        <v>0.80688687786479585</v>
      </c>
      <c r="F349">
        <f>NormData!B353</f>
        <v>0.81214856135991786</v>
      </c>
      <c r="G349">
        <f>NormData!B354</f>
        <v>0.80076042694339222</v>
      </c>
      <c r="H349" s="14">
        <f>NormData!B355</f>
        <v>0.80799321177870076</v>
      </c>
      <c r="I349" s="24">
        <v>0.7870281577914191</v>
      </c>
      <c r="J349" s="22">
        <v>44166</v>
      </c>
      <c r="K349" s="16">
        <f>Table3[[#This Row],[TgtAmount]] * (MAX(Table1[RSXFS]) - MIN(RawData!B:B)) +MIN(Table1[RSXFS])</f>
        <v>540152</v>
      </c>
      <c r="L349" s="15">
        <f>Table3[[#This Row],[Prediction]] * (MAX(Table1[RSXFS]) - MIN(RawData!B:B)) +MIN(Table1[RSXFS])</f>
        <v>529824.23703489336</v>
      </c>
      <c r="M349" s="14"/>
    </row>
    <row r="350" spans="1:13" x14ac:dyDescent="0.25">
      <c r="A350">
        <f>NormData!A356</f>
        <v>0.86971262512108494</v>
      </c>
      <c r="B350">
        <f>NormData!B350</f>
        <v>0.72974190955263507</v>
      </c>
      <c r="C350">
        <f>NormData!B351</f>
        <v>0.70376031732498612</v>
      </c>
      <c r="D350">
        <f>NormData!B352</f>
        <v>0.80688687786479585</v>
      </c>
      <c r="E350">
        <f>NormData!B353</f>
        <v>0.81214856135991786</v>
      </c>
      <c r="F350">
        <f>NormData!B354</f>
        <v>0.80076042694339222</v>
      </c>
      <c r="G350">
        <f>NormData!B355</f>
        <v>0.80799321177870076</v>
      </c>
      <c r="H350" s="14">
        <f>NormData!B356</f>
        <v>0.78454299274488548</v>
      </c>
      <c r="I350" s="24">
        <v>0.79905096002153564</v>
      </c>
      <c r="J350" s="22">
        <v>44197</v>
      </c>
      <c r="K350" s="16">
        <f>Table3[[#This Row],[TgtAmount]] * (MAX(Table1[RSXFS]) - MIN(RawData!B:B)) +MIN(Table1[RSXFS])</f>
        <v>528600</v>
      </c>
      <c r="L350" s="15">
        <f>Table3[[#This Row],[Prediction]] * (MAX(Table1[RSXFS]) - MIN(RawData!B:B)) +MIN(Table1[RSXFS])</f>
        <v>535746.88582388882</v>
      </c>
      <c r="M350" s="14"/>
    </row>
    <row r="351" spans="1:13" x14ac:dyDescent="0.25">
      <c r="A351">
        <f>NormData!A357</f>
        <v>0.87221504681950279</v>
      </c>
      <c r="B351">
        <f>NormData!B351</f>
        <v>0.70376031732498612</v>
      </c>
      <c r="C351">
        <f>NormData!B352</f>
        <v>0.80688687786479585</v>
      </c>
      <c r="D351">
        <f>NormData!B353</f>
        <v>0.81214856135991786</v>
      </c>
      <c r="E351">
        <f>NormData!B354</f>
        <v>0.80076042694339222</v>
      </c>
      <c r="F351">
        <f>NormData!B355</f>
        <v>0.80799321177870076</v>
      </c>
      <c r="G351">
        <f>NormData!B356</f>
        <v>0.78454299274488548</v>
      </c>
      <c r="H351" s="14">
        <f>NormData!B357</f>
        <v>0.79241318831224195</v>
      </c>
      <c r="I351" s="24">
        <v>0.7934513592249367</v>
      </c>
      <c r="J351" s="22">
        <v>44228</v>
      </c>
      <c r="K351" s="16">
        <f>Table3[[#This Row],[TgtAmount]] * (MAX(Table1[RSXFS]) - MIN(RawData!B:B)) +MIN(Table1[RSXFS])</f>
        <v>532477</v>
      </c>
      <c r="L351" s="15">
        <f>Table3[[#This Row],[Prediction]] * (MAX(Table1[RSXFS]) - MIN(RawData!B:B)) +MIN(Table1[RSXFS])</f>
        <v>532988.42167866987</v>
      </c>
      <c r="M351" s="14"/>
    </row>
    <row r="352" spans="1:13" x14ac:dyDescent="0.25">
      <c r="A352">
        <f>NormData!A358</f>
        <v>0.87471746851792054</v>
      </c>
      <c r="B352">
        <f>NormData!B352</f>
        <v>0.80688687786479585</v>
      </c>
      <c r="C352">
        <f>NormData!B353</f>
        <v>0.81214856135991786</v>
      </c>
      <c r="D352">
        <f>NormData!B354</f>
        <v>0.80076042694339222</v>
      </c>
      <c r="E352">
        <f>NormData!B355</f>
        <v>0.80799321177870076</v>
      </c>
      <c r="F352">
        <f>NormData!B356</f>
        <v>0.78454299274488548</v>
      </c>
      <c r="G352">
        <f>NormData!B357</f>
        <v>0.79241318831224195</v>
      </c>
      <c r="H352" s="14">
        <f>NormData!B358</f>
        <v>0.80088628511341442</v>
      </c>
      <c r="I352" s="24">
        <v>0.82163689765406267</v>
      </c>
      <c r="J352" s="22">
        <v>44256</v>
      </c>
      <c r="K352" s="16">
        <f>Table3[[#This Row],[TgtAmount]] * (MAX(Table1[RSXFS]) - MIN(RawData!B:B)) +MIN(Table1[RSXFS])</f>
        <v>536651</v>
      </c>
      <c r="L352" s="15">
        <f>Table3[[#This Row],[Prediction]] * (MAX(Table1[RSXFS]) - MIN(RawData!B:B)) +MIN(Table1[RSXFS])</f>
        <v>546873.12524854904</v>
      </c>
      <c r="M352" s="14"/>
    </row>
    <row r="353" spans="1:13" x14ac:dyDescent="0.25">
      <c r="A353">
        <f>NormData!A359</f>
        <v>0.87713916693574423</v>
      </c>
      <c r="B353">
        <f>NormData!B353</f>
        <v>0.81214856135991786</v>
      </c>
      <c r="C353">
        <f>NormData!B354</f>
        <v>0.80076042694339222</v>
      </c>
      <c r="D353">
        <f>NormData!B355</f>
        <v>0.80799321177870076</v>
      </c>
      <c r="E353">
        <f>NormData!B356</f>
        <v>0.78454299274488548</v>
      </c>
      <c r="F353">
        <f>NormData!B357</f>
        <v>0.79241318831224195</v>
      </c>
      <c r="G353">
        <f>NormData!B358</f>
        <v>0.80088628511341442</v>
      </c>
      <c r="H353" s="14">
        <f>NormData!B359</f>
        <v>0.81856732803105048</v>
      </c>
      <c r="I353" s="24">
        <v>0.82375878364621813</v>
      </c>
      <c r="J353" s="22">
        <v>44287</v>
      </c>
      <c r="K353" s="16">
        <f>Table3[[#This Row],[TgtAmount]] * (MAX(Table1[RSXFS]) - MIN(RawData!B:B)) +MIN(Table1[RSXFS])</f>
        <v>545361</v>
      </c>
      <c r="L353" s="15">
        <f>Table3[[#This Row],[Prediction]] * (MAX(Table1[RSXFS]) - MIN(RawData!B:B)) +MIN(Table1[RSXFS])</f>
        <v>547918.40448223264</v>
      </c>
      <c r="M353" s="14"/>
    </row>
    <row r="354" spans="1:13" x14ac:dyDescent="0.25">
      <c r="A354">
        <f>NormData!A360</f>
        <v>0.87964158863416209</v>
      </c>
      <c r="B354">
        <f>NormData!B354</f>
        <v>0.80076042694339222</v>
      </c>
      <c r="C354">
        <f>NormData!B355</f>
        <v>0.80799321177870076</v>
      </c>
      <c r="D354">
        <f>NormData!B356</f>
        <v>0.78454299274488548</v>
      </c>
      <c r="E354">
        <f>NormData!B357</f>
        <v>0.79241318831224195</v>
      </c>
      <c r="F354">
        <f>NormData!B358</f>
        <v>0.80088628511341442</v>
      </c>
      <c r="G354">
        <f>NormData!B359</f>
        <v>0.81856732803105048</v>
      </c>
      <c r="H354" s="14">
        <f>NormData!B360</f>
        <v>0.83018078917132543</v>
      </c>
      <c r="I354" s="24">
        <v>0.83205553316896674</v>
      </c>
      <c r="J354" s="22">
        <v>44317</v>
      </c>
      <c r="K354" s="16">
        <f>Table3[[#This Row],[TgtAmount]] * (MAX(Table1[RSXFS]) - MIN(RawData!B:B)) +MIN(Table1[RSXFS])</f>
        <v>551082</v>
      </c>
      <c r="L354" s="15">
        <f>Table3[[#This Row],[Prediction]] * (MAX(Table1[RSXFS]) - MIN(RawData!B:B)) +MIN(Table1[RSXFS])</f>
        <v>552005.53263863013</v>
      </c>
      <c r="M354" s="14"/>
    </row>
    <row r="355" spans="1:13" x14ac:dyDescent="0.25">
      <c r="A355">
        <f>NormData!A361</f>
        <v>0.88206328705198578</v>
      </c>
      <c r="B355">
        <f>NormData!B355</f>
        <v>0.80799321177870076</v>
      </c>
      <c r="C355">
        <f>NormData!B356</f>
        <v>0.78454299274488548</v>
      </c>
      <c r="D355">
        <f>NormData!B357</f>
        <v>0.79241318831224195</v>
      </c>
      <c r="E355">
        <f>NormData!B358</f>
        <v>0.80088628511341442</v>
      </c>
      <c r="F355">
        <f>NormData!B359</f>
        <v>0.81856732803105048</v>
      </c>
      <c r="G355">
        <f>NormData!B360</f>
        <v>0.83018078917132543</v>
      </c>
      <c r="H355" s="14">
        <f>NormData!B361</f>
        <v>0.82245675147883346</v>
      </c>
      <c r="I355" s="24">
        <v>0.83753128253684794</v>
      </c>
      <c r="J355" s="22">
        <v>44348</v>
      </c>
      <c r="K355" s="16">
        <f>Table3[[#This Row],[TgtAmount]] * (MAX(Table1[RSXFS]) - MIN(RawData!B:B)) +MIN(Table1[RSXFS])</f>
        <v>547277</v>
      </c>
      <c r="L355" s="15">
        <f>Table3[[#This Row],[Prediction]] * (MAX(Table1[RSXFS]) - MIN(RawData!B:B)) +MIN(Table1[RSXFS])</f>
        <v>554702.98534073704</v>
      </c>
      <c r="M355" s="14"/>
    </row>
    <row r="356" spans="1:13" x14ac:dyDescent="0.25">
      <c r="A356">
        <f>NormData!A362</f>
        <v>0.88456570875040363</v>
      </c>
      <c r="B356">
        <f>NormData!B356</f>
        <v>0.78454299274488548</v>
      </c>
      <c r="C356">
        <f>NormData!B357</f>
        <v>0.79241318831224195</v>
      </c>
      <c r="D356">
        <f>NormData!B358</f>
        <v>0.80088628511341442</v>
      </c>
      <c r="E356">
        <f>NormData!B359</f>
        <v>0.81856732803105048</v>
      </c>
      <c r="F356">
        <f>NormData!B360</f>
        <v>0.83018078917132543</v>
      </c>
      <c r="G356">
        <f>NormData!B361</f>
        <v>0.82245675147883346</v>
      </c>
      <c r="H356" s="14">
        <f>NormData!B362</f>
        <v>0.84880576836412802</v>
      </c>
      <c r="I356" s="24">
        <v>0.83340811690151939</v>
      </c>
      <c r="J356" s="22">
        <v>44378</v>
      </c>
      <c r="K356" s="16">
        <f>Table3[[#This Row],[TgtAmount]] * (MAX(Table1[RSXFS]) - MIN(RawData!B:B)) +MIN(Table1[RSXFS])</f>
        <v>560257</v>
      </c>
      <c r="L356" s="15">
        <f>Table3[[#This Row],[Prediction]] * (MAX(Table1[RSXFS]) - MIN(RawData!B:B)) +MIN(Table1[RSXFS])</f>
        <v>552671.83973179269</v>
      </c>
      <c r="M356" s="14"/>
    </row>
    <row r="357" spans="1:13" x14ac:dyDescent="0.25">
      <c r="A357">
        <f>NormData!A363</f>
        <v>0.88706813044882149</v>
      </c>
      <c r="B357">
        <f>NormData!B357</f>
        <v>0.79241318831224195</v>
      </c>
      <c r="C357">
        <f>NormData!B358</f>
        <v>0.80088628511341442</v>
      </c>
      <c r="D357">
        <f>NormData!B359</f>
        <v>0.81856732803105048</v>
      </c>
      <c r="E357">
        <f>NormData!B360</f>
        <v>0.83018078917132543</v>
      </c>
      <c r="F357">
        <f>NormData!B361</f>
        <v>0.82245675147883346</v>
      </c>
      <c r="G357">
        <f>NormData!B362</f>
        <v>0.84880576836412802</v>
      </c>
      <c r="H357" s="14">
        <f>NormData!B363</f>
        <v>0.85595126446861458</v>
      </c>
      <c r="I357" s="24">
        <v>0.85184834084867167</v>
      </c>
      <c r="J357" s="22">
        <v>44409</v>
      </c>
      <c r="K357" s="16">
        <f>Table3[[#This Row],[TgtAmount]] * (MAX(Table1[RSXFS]) - MIN(RawData!B:B)) +MIN(Table1[RSXFS])</f>
        <v>563777</v>
      </c>
      <c r="L357" s="15">
        <f>Table3[[#This Row],[Prediction]] * (MAX(Table1[RSXFS]) - MIN(RawData!B:B)) +MIN(Table1[RSXFS])</f>
        <v>561755.82597219094</v>
      </c>
      <c r="M357" s="14"/>
    </row>
    <row r="358" spans="1:13" x14ac:dyDescent="0.25">
      <c r="A358">
        <f>NormData!A364</f>
        <v>0.88932838230545685</v>
      </c>
      <c r="B358">
        <f>NormData!B358</f>
        <v>0.80088628511341442</v>
      </c>
      <c r="C358">
        <f>NormData!B359</f>
        <v>0.81856732803105048</v>
      </c>
      <c r="D358">
        <f>NormData!B360</f>
        <v>0.83018078917132543</v>
      </c>
      <c r="E358">
        <f>NormData!B361</f>
        <v>0.82245675147883346</v>
      </c>
      <c r="F358">
        <f>NormData!B362</f>
        <v>0.84880576836412802</v>
      </c>
      <c r="G358">
        <f>NormData!B363</f>
        <v>0.85595126446861458</v>
      </c>
      <c r="H358" s="14">
        <f>NormData!B364</f>
        <v>0.87768818841374041</v>
      </c>
      <c r="I358" s="24">
        <v>0.85790366572452292</v>
      </c>
      <c r="J358" s="22">
        <v>44440</v>
      </c>
      <c r="K358" s="16">
        <f>Table3[[#This Row],[TgtAmount]] * (MAX(Table1[RSXFS]) - MIN(RawData!B:B)) +MIN(Table1[RSXFS])</f>
        <v>574485</v>
      </c>
      <c r="L358" s="15">
        <f>Table3[[#This Row],[Prediction]] * (MAX(Table1[RSXFS]) - MIN(RawData!B:B)) +MIN(Table1[RSXFS])</f>
        <v>564738.78800188308</v>
      </c>
      <c r="M358" s="14"/>
    </row>
    <row r="359" spans="1:13" x14ac:dyDescent="0.25">
      <c r="A359">
        <f>NormData!A365</f>
        <v>0.89183080400387471</v>
      </c>
      <c r="B359">
        <f>NormData!B359</f>
        <v>0.81856732803105048</v>
      </c>
      <c r="C359">
        <f>NormData!B360</f>
        <v>0.83018078917132543</v>
      </c>
      <c r="D359">
        <f>NormData!B361</f>
        <v>0.82245675147883346</v>
      </c>
      <c r="E359">
        <f>NormData!B362</f>
        <v>0.84880576836412802</v>
      </c>
      <c r="F359">
        <f>NormData!B363</f>
        <v>0.85595126446861458</v>
      </c>
      <c r="G359">
        <f>NormData!B364</f>
        <v>0.87768818841374041</v>
      </c>
      <c r="H359" s="14">
        <f>NormData!B365</f>
        <v>0.89079773780089233</v>
      </c>
      <c r="I359" s="24">
        <v>0.87418827595230497</v>
      </c>
      <c r="J359" s="22">
        <v>44470</v>
      </c>
      <c r="K359" s="16">
        <f>Table3[[#This Row],[TgtAmount]] * (MAX(Table1[RSXFS]) - MIN(RawData!B:B)) +MIN(Table1[RSXFS])</f>
        <v>580943</v>
      </c>
      <c r="L359" s="15">
        <f>Table3[[#This Row],[Prediction]] * (MAX(Table1[RSXFS]) - MIN(RawData!B:B)) +MIN(Table1[RSXFS])</f>
        <v>572760.88012307254</v>
      </c>
      <c r="M359" s="14"/>
    </row>
    <row r="360" spans="1:13" x14ac:dyDescent="0.25">
      <c r="A360">
        <f>NormData!A366</f>
        <v>0.8942525024216984</v>
      </c>
      <c r="B360">
        <f>NormData!B360</f>
        <v>0.83018078917132543</v>
      </c>
      <c r="C360">
        <f>NormData!B361</f>
        <v>0.82245675147883346</v>
      </c>
      <c r="D360">
        <f>NormData!B362</f>
        <v>0.84880576836412802</v>
      </c>
      <c r="E360">
        <f>NormData!B363</f>
        <v>0.85595126446861458</v>
      </c>
      <c r="F360">
        <f>NormData!B364</f>
        <v>0.87768818841374041</v>
      </c>
      <c r="G360">
        <f>NormData!B365</f>
        <v>0.89079773780089233</v>
      </c>
      <c r="H360" s="14">
        <f>NormData!B366</f>
        <v>0.88856680023872447</v>
      </c>
      <c r="I360" s="24">
        <v>0.88195017364351702</v>
      </c>
      <c r="J360" s="22">
        <v>44501</v>
      </c>
      <c r="K360" s="16">
        <f>Table3[[#This Row],[TgtAmount]] * (MAX(Table1[RSXFS]) - MIN(RawData!B:B)) +MIN(Table1[RSXFS])</f>
        <v>579844</v>
      </c>
      <c r="L360" s="15">
        <f>Table3[[#This Row],[Prediction]] * (MAX(Table1[RSXFS]) - MIN(RawData!B:B)) +MIN(Table1[RSXFS])</f>
        <v>576584.53063992201</v>
      </c>
      <c r="M360" s="14"/>
    </row>
    <row r="361" spans="1:13" x14ac:dyDescent="0.25">
      <c r="A361">
        <f>NormData!A367</f>
        <v>0.89675492412011626</v>
      </c>
      <c r="B361">
        <f>NormData!B361</f>
        <v>0.82245675147883346</v>
      </c>
      <c r="C361">
        <f>NormData!B362</f>
        <v>0.84880576836412802</v>
      </c>
      <c r="D361">
        <f>NormData!B363</f>
        <v>0.85595126446861458</v>
      </c>
      <c r="E361">
        <f>NormData!B364</f>
        <v>0.87768818841374041</v>
      </c>
      <c r="F361">
        <f>NormData!B365</f>
        <v>0.89079773780089233</v>
      </c>
      <c r="G361">
        <f>NormData!B366</f>
        <v>0.88856680023872447</v>
      </c>
      <c r="H361" s="14">
        <f>NormData!B367</f>
        <v>0.9001619916446415</v>
      </c>
      <c r="I361" s="24">
        <v>0.8854585092303946</v>
      </c>
      <c r="J361" s="22">
        <v>44531</v>
      </c>
      <c r="K361" s="16">
        <f>Table3[[#This Row],[TgtAmount]] * (MAX(Table1[RSXFS]) - MIN(RawData!B:B)) +MIN(Table1[RSXFS])</f>
        <v>585556</v>
      </c>
      <c r="L361" s="15">
        <f>Table3[[#This Row],[Prediction]] * (MAX(Table1[RSXFS]) - MIN(RawData!B:B)) +MIN(Table1[RSXFS])</f>
        <v>578312.79990005854</v>
      </c>
      <c r="M361" s="14"/>
    </row>
    <row r="362" spans="1:13" x14ac:dyDescent="0.25">
      <c r="A362">
        <f>NormData!A368</f>
        <v>0.89917662253793995</v>
      </c>
      <c r="B362">
        <f>NormData!B362</f>
        <v>0.84880576836412802</v>
      </c>
      <c r="C362">
        <f>NormData!B363</f>
        <v>0.85595126446861458</v>
      </c>
      <c r="D362">
        <f>NormData!B364</f>
        <v>0.87768818841374041</v>
      </c>
      <c r="E362">
        <f>NormData!B365</f>
        <v>0.89079773780089233</v>
      </c>
      <c r="F362">
        <f>NormData!B366</f>
        <v>0.88856680023872447</v>
      </c>
      <c r="G362">
        <f>NormData!B367</f>
        <v>0.9001619916446415</v>
      </c>
      <c r="H362" s="14">
        <f>NormData!B368</f>
        <v>0.88739550726932426</v>
      </c>
      <c r="I362" s="24">
        <v>0.89717823031194277</v>
      </c>
      <c r="J362" s="22">
        <v>44562</v>
      </c>
      <c r="K362" s="16">
        <f>Table3[[#This Row],[TgtAmount]] * (MAX(Table1[RSXFS]) - MIN(RawData!B:B)) +MIN(Table1[RSXFS])</f>
        <v>579267</v>
      </c>
      <c r="L362" s="15">
        <f>Table3[[#This Row],[Prediction]] * (MAX(Table1[RSXFS]) - MIN(RawData!B:B)) +MIN(Table1[RSXFS])</f>
        <v>584086.14545980864</v>
      </c>
      <c r="M362" s="14"/>
    </row>
    <row r="363" spans="1:13" x14ac:dyDescent="0.25">
      <c r="A363">
        <f>NormData!A369</f>
        <v>0.90167904423635781</v>
      </c>
      <c r="B363">
        <f>NormData!B363</f>
        <v>0.85595126446861458</v>
      </c>
      <c r="C363">
        <f>NormData!B364</f>
        <v>0.87768818841374041</v>
      </c>
      <c r="D363">
        <f>NormData!B365</f>
        <v>0.89079773780089233</v>
      </c>
      <c r="E363">
        <f>NormData!B366</f>
        <v>0.88856680023872447</v>
      </c>
      <c r="F363">
        <f>NormData!B367</f>
        <v>0.9001619916446415</v>
      </c>
      <c r="G363">
        <f>NormData!B368</f>
        <v>0.88739550726932426</v>
      </c>
      <c r="H363" s="14">
        <f>NormData!B369</f>
        <v>0.89131132033340232</v>
      </c>
      <c r="I363" s="24">
        <v>0.89696022350020077</v>
      </c>
      <c r="J363" s="22">
        <v>44593</v>
      </c>
      <c r="K363" s="16">
        <f>Table3[[#This Row],[TgtAmount]] * (MAX(Table1[RSXFS]) - MIN(RawData!B:B)) +MIN(Table1[RSXFS])</f>
        <v>581196</v>
      </c>
      <c r="L363" s="15">
        <f>Table3[[#This Row],[Prediction]] * (MAX(Table1[RSXFS]) - MIN(RawData!B:B)) +MIN(Table1[RSXFS])</f>
        <v>583978.75138022192</v>
      </c>
      <c r="M363" s="14"/>
    </row>
    <row r="364" spans="1:13" x14ac:dyDescent="0.25">
      <c r="A364">
        <f>NormData!A370</f>
        <v>0.90418146593477555</v>
      </c>
      <c r="B364">
        <f>NormData!B364</f>
        <v>0.87768818841374041</v>
      </c>
      <c r="C364">
        <f>NormData!B365</f>
        <v>0.89079773780089233</v>
      </c>
      <c r="D364">
        <f>NormData!B366</f>
        <v>0.88856680023872447</v>
      </c>
      <c r="E364">
        <f>NormData!B367</f>
        <v>0.9001619916446415</v>
      </c>
      <c r="F364">
        <f>NormData!B368</f>
        <v>0.88739550726932426</v>
      </c>
      <c r="G364">
        <f>NormData!B369</f>
        <v>0.89131132033340232</v>
      </c>
      <c r="H364" s="14">
        <f>NormData!B370</f>
        <v>0.88775887198600134</v>
      </c>
      <c r="I364" s="24">
        <v>0.90482361536681566</v>
      </c>
      <c r="J364" s="22">
        <v>44621</v>
      </c>
      <c r="K364" s="16">
        <f>Table3[[#This Row],[TgtAmount]] * (MAX(Table1[RSXFS]) - MIN(RawData!B:B)) +MIN(Table1[RSXFS])</f>
        <v>579446</v>
      </c>
      <c r="L364" s="15">
        <f>Table3[[#This Row],[Prediction]] * (MAX(Table1[RSXFS]) - MIN(RawData!B:B)) +MIN(Table1[RSXFS])</f>
        <v>587852.39975476998</v>
      </c>
      <c r="M364" s="14"/>
    </row>
    <row r="365" spans="1:13" x14ac:dyDescent="0.25">
      <c r="A365">
        <f>NormData!A371</f>
        <v>0.90660316435259924</v>
      </c>
      <c r="B365">
        <f>NormData!B365</f>
        <v>0.89079773780089233</v>
      </c>
      <c r="C365">
        <f>NormData!B366</f>
        <v>0.88856680023872447</v>
      </c>
      <c r="D365">
        <f>NormData!B367</f>
        <v>0.9001619916446415</v>
      </c>
      <c r="E365">
        <f>NormData!B368</f>
        <v>0.88739550726932426</v>
      </c>
      <c r="F365">
        <f>NormData!B369</f>
        <v>0.89131132033340232</v>
      </c>
      <c r="G365">
        <f>NormData!B370</f>
        <v>0.88775887198600134</v>
      </c>
      <c r="H365" s="14">
        <f>NormData!B371</f>
        <v>0.8990455078783155</v>
      </c>
      <c r="I365" s="24">
        <v>0.90535385985911376</v>
      </c>
      <c r="J365" s="22">
        <v>44652</v>
      </c>
      <c r="K365" s="16">
        <f>Table3[[#This Row],[TgtAmount]] * (MAX(Table1[RSXFS]) - MIN(RawData!B:B)) +MIN(Table1[RSXFS])</f>
        <v>585006</v>
      </c>
      <c r="L365" s="15">
        <f>Table3[[#This Row],[Prediction]] * (MAX(Table1[RSXFS]) - MIN(RawData!B:B)) +MIN(Table1[RSXFS])</f>
        <v>588113.60773607693</v>
      </c>
      <c r="M365" s="14"/>
    </row>
    <row r="366" spans="1:13" x14ac:dyDescent="0.25">
      <c r="A366">
        <f>NormData!A372</f>
        <v>0.9091055860510171</v>
      </c>
      <c r="B366">
        <f>NormData!B366</f>
        <v>0.88856680023872447</v>
      </c>
      <c r="C366">
        <f>NormData!B367</f>
        <v>0.9001619916446415</v>
      </c>
      <c r="D366">
        <f>NormData!B368</f>
        <v>0.88739550726932426</v>
      </c>
      <c r="E366">
        <f>NormData!B369</f>
        <v>0.89131132033340232</v>
      </c>
      <c r="F366">
        <f>NormData!B370</f>
        <v>0.88775887198600134</v>
      </c>
      <c r="G366">
        <f>NormData!B371</f>
        <v>0.8990455078783155</v>
      </c>
      <c r="H366" s="14">
        <f>NormData!B372</f>
        <v>0.88148626318973322</v>
      </c>
      <c r="I366" s="24">
        <v>0.91026151944942646</v>
      </c>
      <c r="J366" s="22">
        <v>44682</v>
      </c>
      <c r="K366" s="16">
        <f>Table3[[#This Row],[TgtAmount]] * (MAX(Table1[RSXFS]) - MIN(RawData!B:B)) +MIN(Table1[RSXFS])</f>
        <v>576356</v>
      </c>
      <c r="L366" s="15">
        <f>Table3[[#This Row],[Prediction]] * (MAX(Table1[RSXFS]) - MIN(RawData!B:B)) +MIN(Table1[RSXFS])</f>
        <v>590531.20918813755</v>
      </c>
      <c r="M366" s="14"/>
    </row>
    <row r="367" spans="1:13" x14ac:dyDescent="0.25">
      <c r="A367">
        <f>NormData!A373</f>
        <v>0.91152728446884079</v>
      </c>
      <c r="B367">
        <f>NormData!B367</f>
        <v>0.9001619916446415</v>
      </c>
      <c r="C367">
        <f>NormData!B368</f>
        <v>0.88739550726932426</v>
      </c>
      <c r="D367">
        <f>NormData!B369</f>
        <v>0.89131132033340232</v>
      </c>
      <c r="E367">
        <f>NormData!B370</f>
        <v>0.88775887198600134</v>
      </c>
      <c r="F367">
        <f>NormData!B371</f>
        <v>0.8990455078783155</v>
      </c>
      <c r="G367">
        <f>NormData!B372</f>
        <v>0.88148626318973322</v>
      </c>
      <c r="H367" s="14">
        <f>NormData!B373</f>
        <v>0.86679536679536684</v>
      </c>
      <c r="I367" s="24">
        <v>0.90550796518119958</v>
      </c>
      <c r="J367" s="22">
        <v>44713</v>
      </c>
      <c r="K367" s="16">
        <f>Table3[[#This Row],[TgtAmount]] * (MAX(Table1[RSXFS]) - MIN(RawData!B:B)) +MIN(Table1[RSXFS])</f>
        <v>569119</v>
      </c>
      <c r="L367" s="15">
        <f>Table3[[#This Row],[Prediction]] * (MAX(Table1[RSXFS]) - MIN(RawData!B:B)) +MIN(Table1[RSXFS])</f>
        <v>588189.52279163222</v>
      </c>
      <c r="M367" s="14"/>
    </row>
    <row r="368" spans="1:13" x14ac:dyDescent="0.25">
      <c r="A368">
        <f>NormData!A374</f>
        <v>0.91402970616725865</v>
      </c>
      <c r="B368">
        <f>NormData!B368</f>
        <v>0.88739550726932426</v>
      </c>
      <c r="C368">
        <f>NormData!B369</f>
        <v>0.89131132033340232</v>
      </c>
      <c r="D368">
        <f>NormData!B370</f>
        <v>0.88775887198600134</v>
      </c>
      <c r="E368">
        <f>NormData!B371</f>
        <v>0.8990455078783155</v>
      </c>
      <c r="F368">
        <f>NormData!B372</f>
        <v>0.88148626318973322</v>
      </c>
      <c r="G368">
        <f>NormData!B373</f>
        <v>0.86679536679536684</v>
      </c>
      <c r="H368" s="14">
        <f>NormData!B374</f>
        <v>0.91317004250758194</v>
      </c>
      <c r="I368" s="24">
        <v>0.90154497418923984</v>
      </c>
      <c r="J368" s="22">
        <v>44743</v>
      </c>
      <c r="K368" s="16">
        <f>Table3[[#This Row],[TgtAmount]] * (MAX(Table1[RSXFS]) - MIN(RawData!B:B)) +MIN(Table1[RSXFS])</f>
        <v>591964</v>
      </c>
      <c r="L368" s="15">
        <f>Table3[[#This Row],[Prediction]] * (MAX(Table1[RSXFS]) - MIN(RawData!B:B)) +MIN(Table1[RSXFS])</f>
        <v>586237.28209515498</v>
      </c>
      <c r="M368" s="14"/>
    </row>
    <row r="369" spans="1:13" x14ac:dyDescent="0.25">
      <c r="A369">
        <f>NormData!A375</f>
        <v>0.9165321278656765</v>
      </c>
      <c r="B369">
        <f>NormData!B369</f>
        <v>0.89131132033340232</v>
      </c>
      <c r="C369">
        <f>NormData!B370</f>
        <v>0.88775887198600134</v>
      </c>
      <c r="D369">
        <f>NormData!B371</f>
        <v>0.8990455078783155</v>
      </c>
      <c r="E369">
        <f>NormData!B372</f>
        <v>0.88148626318973322</v>
      </c>
      <c r="F369">
        <f>NormData!B373</f>
        <v>0.86679536679536684</v>
      </c>
      <c r="G369">
        <f>NormData!B374</f>
        <v>0.91317004250758194</v>
      </c>
      <c r="H369" s="14">
        <f>NormData!B375</f>
        <v>0.90139824366953702</v>
      </c>
      <c r="I369" s="24">
        <v>0.91588067080188074</v>
      </c>
      <c r="J369" s="22">
        <v>44774</v>
      </c>
      <c r="K369" s="16">
        <f>Table3[[#This Row],[TgtAmount]] * (MAX(Table1[RSXFS]) - MIN(RawData!B:B)) +MIN(Table1[RSXFS])</f>
        <v>586165</v>
      </c>
      <c r="L369" s="15">
        <f>Table3[[#This Row],[Prediction]] * (MAX(Table1[RSXFS]) - MIN(RawData!B:B)) +MIN(Table1[RSXFS])</f>
        <v>593299.3042890809</v>
      </c>
      <c r="M369" s="14"/>
    </row>
    <row r="370" spans="1:13" x14ac:dyDescent="0.25">
      <c r="A370">
        <f>NormData!A376</f>
        <v>0.91879237972231187</v>
      </c>
      <c r="B370">
        <f>NormData!B370</f>
        <v>0.88775887198600134</v>
      </c>
      <c r="C370">
        <f>NormData!B371</f>
        <v>0.8990455078783155</v>
      </c>
      <c r="D370">
        <f>NormData!B372</f>
        <v>0.88148626318973322</v>
      </c>
      <c r="E370">
        <f>NormData!B373</f>
        <v>0.86679536679536684</v>
      </c>
      <c r="F370">
        <f>NormData!B374</f>
        <v>0.91317004250758194</v>
      </c>
      <c r="G370">
        <f>NormData!B375</f>
        <v>0.90139824366953702</v>
      </c>
      <c r="H370" s="14">
        <f>NormData!B376</f>
        <v>0.88647187069900002</v>
      </c>
      <c r="I370" s="24">
        <v>0.91056257971716503</v>
      </c>
      <c r="J370" s="22">
        <v>44805</v>
      </c>
      <c r="K370" s="16">
        <f>Table3[[#This Row],[TgtAmount]] * (MAX(Table1[RSXFS]) - MIN(RawData!B:B)) +MIN(Table1[RSXFS])</f>
        <v>578812</v>
      </c>
      <c r="L370" s="15">
        <f>Table3[[#This Row],[Prediction]] * (MAX(Table1[RSXFS]) - MIN(RawData!B:B)) +MIN(Table1[RSXFS])</f>
        <v>590679.51689511049</v>
      </c>
      <c r="M370" s="14"/>
    </row>
    <row r="371" spans="1:13" x14ac:dyDescent="0.25">
      <c r="A371">
        <f>NormData!A377</f>
        <v>0.92129480142072973</v>
      </c>
      <c r="B371">
        <f>NormData!B371</f>
        <v>0.8990455078783155</v>
      </c>
      <c r="C371">
        <f>NormData!B372</f>
        <v>0.88148626318973322</v>
      </c>
      <c r="D371">
        <f>NormData!B373</f>
        <v>0.86679536679536684</v>
      </c>
      <c r="E371">
        <f>NormData!B374</f>
        <v>0.91317004250758194</v>
      </c>
      <c r="F371">
        <f>NormData!B375</f>
        <v>0.90139824366953702</v>
      </c>
      <c r="G371">
        <f>NormData!B376</f>
        <v>0.88647187069900002</v>
      </c>
      <c r="H371" s="14">
        <f>NormData!B377</f>
        <v>0.89674758129016807</v>
      </c>
      <c r="I371" s="24">
        <v>0.91014351807956773</v>
      </c>
      <c r="J371" s="22">
        <v>44835</v>
      </c>
      <c r="K371" s="16">
        <f>Table3[[#This Row],[TgtAmount]] * (MAX(Table1[RSXFS]) - MIN(RawData!B:B)) +MIN(Table1[RSXFS])</f>
        <v>583874</v>
      </c>
      <c r="L371" s="15">
        <f>Table3[[#This Row],[Prediction]] * (MAX(Table1[RSXFS]) - MIN(RawData!B:B)) +MIN(Table1[RSXFS])</f>
        <v>590473.07958932058</v>
      </c>
      <c r="M371" s="14"/>
    </row>
    <row r="372" spans="1:13" x14ac:dyDescent="0.25">
      <c r="A372">
        <f>NormData!A378</f>
        <v>0.92371649983855342</v>
      </c>
      <c r="B372">
        <f>NormData!B372</f>
        <v>0.88148626318973322</v>
      </c>
      <c r="C372">
        <f>NormData!B373</f>
        <v>0.86679536679536684</v>
      </c>
      <c r="D372">
        <f>NormData!B374</f>
        <v>0.91317004250758194</v>
      </c>
      <c r="E372">
        <f>NormData!B375</f>
        <v>0.90139824366953702</v>
      </c>
      <c r="F372">
        <f>NormData!B376</f>
        <v>0.88647187069900002</v>
      </c>
      <c r="G372">
        <f>NormData!B377</f>
        <v>0.89674758129016807</v>
      </c>
      <c r="H372" s="14">
        <f>NormData!B378</f>
        <v>0.90164387009812874</v>
      </c>
      <c r="I372" s="24">
        <v>0.9113548786110951</v>
      </c>
      <c r="J372" s="22">
        <v>44866</v>
      </c>
      <c r="K372" s="16">
        <f>Table3[[#This Row],[TgtAmount]] * (MAX(Table1[RSXFS]) - MIN(RawData!B:B)) +MIN(Table1[RSXFS])</f>
        <v>586286</v>
      </c>
      <c r="L372" s="15">
        <f>Table3[[#This Row],[Prediction]] * (MAX(Table1[RSXFS]) - MIN(RawData!B:B)) +MIN(Table1[RSXFS])</f>
        <v>591069.8175916404</v>
      </c>
      <c r="M372" s="14"/>
    </row>
    <row r="373" spans="1:13" x14ac:dyDescent="0.25">
      <c r="A373">
        <f>NormData!A379</f>
        <v>0.92621892153697127</v>
      </c>
      <c r="B373">
        <f>NormData!B373</f>
        <v>0.86679536679536684</v>
      </c>
      <c r="C373">
        <f>NormData!B374</f>
        <v>0.91317004250758194</v>
      </c>
      <c r="D373">
        <f>NormData!B375</f>
        <v>0.90139824366953702</v>
      </c>
      <c r="E373">
        <f>NormData!B376</f>
        <v>0.88647187069900002</v>
      </c>
      <c r="F373">
        <f>NormData!B377</f>
        <v>0.89674758129016807</v>
      </c>
      <c r="G373">
        <f>NormData!B378</f>
        <v>0.90164387009812874</v>
      </c>
      <c r="H373" s="14">
        <f>NormData!B379</f>
        <v>0.90648331973253105</v>
      </c>
      <c r="I373" s="24">
        <v>0.91393225425860314</v>
      </c>
      <c r="J373" s="22">
        <v>44896</v>
      </c>
      <c r="K373" s="16">
        <f>Table3[[#This Row],[TgtAmount]] * (MAX(Table1[RSXFS]) - MIN(RawData!B:B)) +MIN(Table1[RSXFS])</f>
        <v>588670</v>
      </c>
      <c r="L373" s="15">
        <f>Table3[[#This Row],[Prediction]] * (MAX(Table1[RSXFS]) - MIN(RawData!B:B)) +MIN(Table1[RSXFS])</f>
        <v>592339.47922836454</v>
      </c>
      <c r="M373" s="14"/>
    </row>
    <row r="374" spans="1:13" x14ac:dyDescent="0.25">
      <c r="A374">
        <f>NormData!A380</f>
        <v>0.92864061995479497</v>
      </c>
      <c r="B374">
        <f>NormData!B374</f>
        <v>0.91317004250758194</v>
      </c>
      <c r="C374">
        <f>NormData!B375</f>
        <v>0.90139824366953702</v>
      </c>
      <c r="D374">
        <f>NormData!B376</f>
        <v>0.88647187069900002</v>
      </c>
      <c r="E374">
        <f>NormData!B377</f>
        <v>0.89674758129016807</v>
      </c>
      <c r="F374">
        <f>NormData!B378</f>
        <v>0.90164387009812874</v>
      </c>
      <c r="G374">
        <f>NormData!B379</f>
        <v>0.90648331973253105</v>
      </c>
      <c r="H374" s="14">
        <f>NormData!B380</f>
        <v>0.90767491240677356</v>
      </c>
      <c r="I374" s="24">
        <v>0.92084126623720819</v>
      </c>
      <c r="J374" s="22">
        <v>44927</v>
      </c>
      <c r="K374" s="16">
        <f>Table3[[#This Row],[TgtAmount]] * (MAX(Table1[RSXFS]) - MIN(RawData!B:B)) +MIN(Table1[RSXFS])</f>
        <v>589257</v>
      </c>
      <c r="L374" s="15">
        <f>Table3[[#This Row],[Prediction]] * (MAX(Table1[RSXFS]) - MIN(RawData!B:B)) +MIN(Table1[RSXFS])</f>
        <v>595742.98289124109</v>
      </c>
      <c r="M374" s="14"/>
    </row>
    <row r="375" spans="1:13" x14ac:dyDescent="0.25">
      <c r="A375">
        <f>NormData!A381</f>
        <v>0.93114304165321282</v>
      </c>
      <c r="B375">
        <f>NormData!B375</f>
        <v>0.90139824366953702</v>
      </c>
      <c r="C375">
        <f>NormData!B376</f>
        <v>0.88647187069900002</v>
      </c>
      <c r="D375">
        <f>NormData!B377</f>
        <v>0.89674758129016807</v>
      </c>
      <c r="E375">
        <f>NormData!B378</f>
        <v>0.90164387009812874</v>
      </c>
      <c r="F375">
        <f>NormData!B379</f>
        <v>0.90648331973253105</v>
      </c>
      <c r="G375">
        <f>NormData!B380</f>
        <v>0.90767491240677356</v>
      </c>
      <c r="H375" s="14">
        <f>NormData!B381</f>
        <v>0.91972075726018943</v>
      </c>
      <c r="I375" s="24">
        <v>0.91960512922554372</v>
      </c>
      <c r="J375" s="22">
        <v>44958</v>
      </c>
      <c r="K375" s="16">
        <f>Table3[[#This Row],[TgtAmount]] * (MAX(Table1[RSXFS]) - MIN(RawData!B:B)) +MIN(Table1[RSXFS])</f>
        <v>595191</v>
      </c>
      <c r="L375" s="15">
        <f>Table3[[#This Row],[Prediction]] * (MAX(Table1[RSXFS]) - MIN(RawData!B:B)) +MIN(Table1[RSXFS])</f>
        <v>595134.03954882897</v>
      </c>
      <c r="M375" s="14"/>
    </row>
    <row r="376" spans="1:13" x14ac:dyDescent="0.25">
      <c r="A376">
        <f>NormData!A382</f>
        <v>0.93364546335163057</v>
      </c>
      <c r="B376">
        <f>NormData!B376</f>
        <v>0.88647187069900002</v>
      </c>
      <c r="C376">
        <f>NormData!B377</f>
        <v>0.89674758129016807</v>
      </c>
      <c r="D376">
        <f>NormData!B378</f>
        <v>0.90164387009812874</v>
      </c>
      <c r="E376">
        <f>NormData!B379</f>
        <v>0.90648331973253105</v>
      </c>
      <c r="F376">
        <f>NormData!B380</f>
        <v>0.90767491240677356</v>
      </c>
      <c r="G376">
        <f>NormData!B381</f>
        <v>0.91972075726018943</v>
      </c>
      <c r="H376" s="14">
        <f>NormData!B382</f>
        <v>0.92736359613331221</v>
      </c>
      <c r="I376" s="24">
        <v>0.92293365150940065</v>
      </c>
      <c r="J376" s="22">
        <v>44986</v>
      </c>
      <c r="K376" s="16">
        <f>Table3[[#This Row],[TgtAmount]] * (MAX(Table1[RSXFS]) - MIN(RawData!B:B)) +MIN(Table1[RSXFS])</f>
        <v>598956</v>
      </c>
      <c r="L376" s="15">
        <f>Table3[[#This Row],[Prediction]] * (MAX(Table1[RSXFS]) - MIN(RawData!B:B)) +MIN(Table1[RSXFS])</f>
        <v>596773.72953925794</v>
      </c>
      <c r="M376" s="14"/>
    </row>
    <row r="377" spans="1:13" x14ac:dyDescent="0.25">
      <c r="A377">
        <f>NormData!A383</f>
        <v>0.93606716176945426</v>
      </c>
      <c r="B377">
        <f>NormData!B377</f>
        <v>0.89674758129016807</v>
      </c>
      <c r="C377">
        <f>NormData!B378</f>
        <v>0.90164387009812874</v>
      </c>
      <c r="D377">
        <f>NormData!B379</f>
        <v>0.90648331973253105</v>
      </c>
      <c r="E377">
        <f>NormData!B380</f>
        <v>0.90767491240677356</v>
      </c>
      <c r="F377">
        <f>NormData!B381</f>
        <v>0.91972075726018943</v>
      </c>
      <c r="G377">
        <f>NormData!B382</f>
        <v>0.92736359613331221</v>
      </c>
      <c r="H377" s="14">
        <f>NormData!B383</f>
        <v>0.92038252763804818</v>
      </c>
      <c r="I377" s="24">
        <v>0.92697403901436193</v>
      </c>
      <c r="J377" s="22">
        <v>45017</v>
      </c>
      <c r="K377" s="16">
        <f>Table3[[#This Row],[TgtAmount]] * (MAX(Table1[RSXFS]) - MIN(RawData!B:B)) +MIN(Table1[RSXFS])</f>
        <v>595517</v>
      </c>
      <c r="L377" s="15">
        <f>Table3[[#This Row],[Prediction]] * (MAX(Table1[RSXFS]) - MIN(RawData!B:B)) +MIN(Table1[RSXFS])</f>
        <v>598764.097151177</v>
      </c>
      <c r="M377" s="14"/>
    </row>
    <row r="378" spans="1:13" x14ac:dyDescent="0.25">
      <c r="A378">
        <f>NormData!A384</f>
        <v>0.93856958346787212</v>
      </c>
      <c r="B378">
        <f>NormData!B378</f>
        <v>0.90164387009812874</v>
      </c>
      <c r="C378">
        <f>NormData!B379</f>
        <v>0.90648331973253105</v>
      </c>
      <c r="D378">
        <f>NormData!B380</f>
        <v>0.90767491240677356</v>
      </c>
      <c r="E378">
        <f>NormData!B381</f>
        <v>0.91972075726018943</v>
      </c>
      <c r="F378">
        <f>NormData!B382</f>
        <v>0.92736359613331221</v>
      </c>
      <c r="G378">
        <f>NormData!B383</f>
        <v>0.92038252763804818</v>
      </c>
      <c r="H378" s="14">
        <f>NormData!B384</f>
        <v>0.91642408519380125</v>
      </c>
      <c r="I378" s="24">
        <v>0.9274329257119055</v>
      </c>
      <c r="J378" s="22">
        <v>45047</v>
      </c>
      <c r="K378" s="16">
        <f>Table3[[#This Row],[TgtAmount]] * (MAX(Table1[RSXFS]) - MIN(RawData!B:B)) +MIN(Table1[RSXFS])</f>
        <v>593567</v>
      </c>
      <c r="L378" s="15">
        <f>Table3[[#This Row],[Prediction]] * (MAX(Table1[RSXFS]) - MIN(RawData!B:B)) +MIN(Table1[RSXFS])</f>
        <v>598990.15299834753</v>
      </c>
      <c r="M378" s="14"/>
    </row>
    <row r="379" spans="1:13" x14ac:dyDescent="0.25">
      <c r="A379">
        <f>NormData!A385</f>
        <v>0.94099128188569581</v>
      </c>
      <c r="B379">
        <f>NormData!B379</f>
        <v>0.90648331973253105</v>
      </c>
      <c r="C379">
        <f>NormData!B380</f>
        <v>0.90767491240677356</v>
      </c>
      <c r="D379">
        <f>NormData!B381</f>
        <v>0.91972075726018943</v>
      </c>
      <c r="E379">
        <f>NormData!B382</f>
        <v>0.92736359613331221</v>
      </c>
      <c r="F379">
        <f>NormData!B383</f>
        <v>0.92038252763804818</v>
      </c>
      <c r="G379">
        <f>NormData!B384</f>
        <v>0.91642408519380125</v>
      </c>
      <c r="H379" s="14">
        <f>NormData!B385</f>
        <v>0.91782273485743515</v>
      </c>
      <c r="I379" s="24">
        <v>0.9287320969456323</v>
      </c>
      <c r="J379" s="22">
        <v>45078</v>
      </c>
      <c r="K379" s="16">
        <f>Table3[[#This Row],[TgtAmount]] * (MAX(Table1[RSXFS]) - MIN(RawData!B:B)) +MIN(Table1[RSXFS])</f>
        <v>594256</v>
      </c>
      <c r="L379" s="15">
        <f>Table3[[#This Row],[Prediction]] * (MAX(Table1[RSXFS]) - MIN(RawData!B:B)) +MIN(Table1[RSXFS])</f>
        <v>599630.14813316357</v>
      </c>
      <c r="M379" s="14"/>
    </row>
    <row r="380" spans="1:13" x14ac:dyDescent="0.25">
      <c r="A380">
        <f>NormData!A386</f>
        <v>0.94349370358411366</v>
      </c>
      <c r="B380">
        <f>NormData!B380</f>
        <v>0.90767491240677356</v>
      </c>
      <c r="C380">
        <f>NormData!B381</f>
        <v>0.91972075726018943</v>
      </c>
      <c r="D380">
        <f>NormData!B382</f>
        <v>0.92736359613331221</v>
      </c>
      <c r="E380">
        <f>NormData!B383</f>
        <v>0.92038252763804818</v>
      </c>
      <c r="F380">
        <f>NormData!B384</f>
        <v>0.91642408519380125</v>
      </c>
      <c r="G380">
        <f>NormData!B385</f>
        <v>0.91782273485743515</v>
      </c>
      <c r="H380" s="14">
        <f>NormData!B386</f>
        <v>0.9070395316452099</v>
      </c>
      <c r="I380" s="24">
        <v>0.93059900991854405</v>
      </c>
      <c r="J380" s="22">
        <v>45108</v>
      </c>
      <c r="K380" s="16">
        <f>Table3[[#This Row],[TgtAmount]] * (MAX(Table1[RSXFS]) - MIN(RawData!B:B)) +MIN(Table1[RSXFS])</f>
        <v>588944</v>
      </c>
      <c r="L380" s="15">
        <f>Table3[[#This Row],[Prediction]] * (MAX(Table1[RSXFS]) - MIN(RawData!B:B)) +MIN(Table1[RSXFS])</f>
        <v>600549.82306805335</v>
      </c>
      <c r="M380" s="14"/>
    </row>
    <row r="381" spans="1:13" x14ac:dyDescent="0.25">
      <c r="A381">
        <f>NormData!A387</f>
        <v>0.94599612528253152</v>
      </c>
      <c r="B381">
        <f>NormData!B381</f>
        <v>0.91972075726018943</v>
      </c>
      <c r="C381">
        <f>NormData!B382</f>
        <v>0.92736359613331221</v>
      </c>
      <c r="D381">
        <f>NormData!B383</f>
        <v>0.92038252763804818</v>
      </c>
      <c r="E381">
        <f>NormData!B384</f>
        <v>0.91642408519380125</v>
      </c>
      <c r="F381">
        <f>NormData!B385</f>
        <v>0.91782273485743515</v>
      </c>
      <c r="G381">
        <f>NormData!B386</f>
        <v>0.9070395316452099</v>
      </c>
      <c r="H381" s="14">
        <f>NormData!B387</f>
        <v>0.91569126584899452</v>
      </c>
      <c r="I381" s="24">
        <v>0.93006184490682731</v>
      </c>
      <c r="J381" s="22">
        <v>45139</v>
      </c>
      <c r="K381" s="16">
        <f>Table3[[#This Row],[TgtAmount]] * (MAX(Table1[RSXFS]) - MIN(RawData!B:B)) +MIN(Table1[RSXFS])</f>
        <v>593206</v>
      </c>
      <c r="L381" s="15">
        <f>Table3[[#This Row],[Prediction]] * (MAX(Table1[RSXFS]) - MIN(RawData!B:B)) +MIN(Table1[RSXFS])</f>
        <v>600285.20591431146</v>
      </c>
      <c r="M381" s="14"/>
    </row>
    <row r="382" spans="1:13" x14ac:dyDescent="0.25">
      <c r="A382">
        <f>NormData!A388</f>
        <v>0.94833710041976105</v>
      </c>
      <c r="B382">
        <f>NormData!B382</f>
        <v>0.92736359613331221</v>
      </c>
      <c r="C382">
        <f>NormData!B383</f>
        <v>0.92038252763804818</v>
      </c>
      <c r="D382">
        <f>NormData!B384</f>
        <v>0.91642408519380125</v>
      </c>
      <c r="E382">
        <f>NormData!B385</f>
        <v>0.91782273485743515</v>
      </c>
      <c r="F382">
        <f>NormData!B386</f>
        <v>0.9070395316452099</v>
      </c>
      <c r="G382">
        <f>NormData!B387</f>
        <v>0.91569126584899452</v>
      </c>
      <c r="H382" s="14">
        <f>NormData!B388</f>
        <v>0.92130007429691974</v>
      </c>
      <c r="I382" s="24">
        <v>0.93311908314938974</v>
      </c>
      <c r="J382" s="22">
        <v>45170</v>
      </c>
      <c r="K382" s="16">
        <f>Table3[[#This Row],[TgtAmount]] * (MAX(Table1[RSXFS]) - MIN(RawData!B:B)) +MIN(Table1[RSXFS])</f>
        <v>595969</v>
      </c>
      <c r="L382" s="15">
        <f>Table3[[#This Row],[Prediction]] * (MAX(Table1[RSXFS]) - MIN(RawData!B:B)) +MIN(Table1[RSXFS])</f>
        <v>601791.25650288607</v>
      </c>
      <c r="M382" s="14"/>
    </row>
    <row r="383" spans="1:13" x14ac:dyDescent="0.25">
      <c r="A383">
        <f>NormData!A389</f>
        <v>0.9508395221181789</v>
      </c>
      <c r="B383">
        <f>NormData!B383</f>
        <v>0.92038252763804818</v>
      </c>
      <c r="C383">
        <f>NormData!B384</f>
        <v>0.91642408519380125</v>
      </c>
      <c r="D383">
        <f>NormData!B385</f>
        <v>0.91782273485743515</v>
      </c>
      <c r="E383">
        <f>NormData!B386</f>
        <v>0.9070395316452099</v>
      </c>
      <c r="F383">
        <f>NormData!B387</f>
        <v>0.91569126584899452</v>
      </c>
      <c r="G383">
        <f>NormData!B388</f>
        <v>0.92130007429691974</v>
      </c>
      <c r="H383" s="14">
        <f>NormData!B389</f>
        <v>0.92070529294504055</v>
      </c>
      <c r="I383" s="24">
        <v>0.93305944142047048</v>
      </c>
      <c r="J383" s="22">
        <v>45200</v>
      </c>
      <c r="K383" s="16">
        <f>Table3[[#This Row],[TgtAmount]] * (MAX(Table1[RSXFS]) - MIN(RawData!B:B)) +MIN(Table1[RSXFS])</f>
        <v>595676</v>
      </c>
      <c r="L383" s="15">
        <f>Table3[[#This Row],[Prediction]] * (MAX(Table1[RSXFS]) - MIN(RawData!B:B)) +MIN(Table1[RSXFS])</f>
        <v>601761.87591366936</v>
      </c>
      <c r="M383" s="14"/>
    </row>
    <row r="384" spans="1:13" x14ac:dyDescent="0.25">
      <c r="A384">
        <f>NormData!A390</f>
        <v>0.9532612205360026</v>
      </c>
      <c r="B384">
        <f>NormData!B384</f>
        <v>0.91642408519380125</v>
      </c>
      <c r="C384">
        <f>NormData!B385</f>
        <v>0.91782273485743515</v>
      </c>
      <c r="D384">
        <f>NormData!B386</f>
        <v>0.9070395316452099</v>
      </c>
      <c r="E384">
        <f>NormData!B387</f>
        <v>0.91569126584899452</v>
      </c>
      <c r="F384">
        <f>NormData!B388</f>
        <v>0.92130007429691974</v>
      </c>
      <c r="G384">
        <f>NormData!B389</f>
        <v>0.92070529294504055</v>
      </c>
      <c r="H384" s="14">
        <f>NormData!B390</f>
        <v>0.93023803433898067</v>
      </c>
      <c r="I384" s="24">
        <v>0.93320752018723052</v>
      </c>
      <c r="J384" s="22">
        <v>45231</v>
      </c>
      <c r="K384" s="16">
        <f>Table3[[#This Row],[TgtAmount]] * (MAX(Table1[RSXFS]) - MIN(RawData!B:B)) +MIN(Table1[RSXFS])</f>
        <v>600372</v>
      </c>
      <c r="L384" s="15">
        <f>Table3[[#This Row],[Prediction]] * (MAX(Table1[RSXFS]) - MIN(RawData!B:B)) +MIN(Table1[RSXFS])</f>
        <v>601834.82217959315</v>
      </c>
      <c r="M384" s="14"/>
    </row>
    <row r="385" spans="1:13" x14ac:dyDescent="0.25">
      <c r="A385">
        <f>NormData!A391</f>
        <v>0.95576364223442045</v>
      </c>
      <c r="B385">
        <f>NormData!B385</f>
        <v>0.91782273485743515</v>
      </c>
      <c r="C385">
        <f>NormData!B386</f>
        <v>0.9070395316452099</v>
      </c>
      <c r="D385">
        <f>NormData!B387</f>
        <v>0.91569126584899452</v>
      </c>
      <c r="E385">
        <f>NormData!B388</f>
        <v>0.92130007429691974</v>
      </c>
      <c r="F385">
        <f>NormData!B389</f>
        <v>0.92070529294504055</v>
      </c>
      <c r="G385">
        <f>NormData!B390</f>
        <v>0.93023803433898067</v>
      </c>
      <c r="H385" s="14">
        <f>NormData!B391</f>
        <v>0.92944025593867863</v>
      </c>
      <c r="I385" s="24">
        <v>0.93581957046058961</v>
      </c>
      <c r="J385" s="22">
        <v>45261</v>
      </c>
      <c r="K385" s="16">
        <f>Table3[[#This Row],[TgtAmount]] * (MAX(Table1[RSXFS]) - MIN(RawData!B:B)) +MIN(Table1[RSXFS])</f>
        <v>599979</v>
      </c>
      <c r="L385" s="15">
        <f>Table3[[#This Row],[Prediction]] * (MAX(Table1[RSXFS]) - MIN(RawData!B:B)) +MIN(Table1[RSXFS])</f>
        <v>603121.56516115472</v>
      </c>
      <c r="M385" s="14"/>
    </row>
    <row r="386" spans="1:13" x14ac:dyDescent="0.25">
      <c r="A386">
        <f>NormData!A392</f>
        <v>0.95818534065224414</v>
      </c>
      <c r="B386">
        <f>NormData!B386</f>
        <v>0.9070395316452099</v>
      </c>
      <c r="C386">
        <f>NormData!B387</f>
        <v>0.91569126584899452</v>
      </c>
      <c r="D386">
        <f>NormData!B388</f>
        <v>0.92130007429691974</v>
      </c>
      <c r="E386">
        <f>NormData!B389</f>
        <v>0.92070529294504055</v>
      </c>
      <c r="F386">
        <f>NormData!B390</f>
        <v>0.93023803433898067</v>
      </c>
      <c r="G386">
        <f>NormData!B391</f>
        <v>0.92944025593867863</v>
      </c>
      <c r="H386" s="14">
        <f>NormData!B392</f>
        <v>0.94128513371415579</v>
      </c>
      <c r="I386" s="24">
        <v>0.93556372414096545</v>
      </c>
      <c r="J386" s="22">
        <v>45292</v>
      </c>
      <c r="K386" s="16">
        <f>Table3[[#This Row],[TgtAmount]] * (MAX(Table1[RSXFS]) - MIN(RawData!B:B)) +MIN(Table1[RSXFS])</f>
        <v>605814</v>
      </c>
      <c r="L386" s="15">
        <f>Table3[[#This Row],[Prediction]] * (MAX(Table1[RSXFS]) - MIN(RawData!B:B)) +MIN(Table1[RSXFS])</f>
        <v>602995.5306588742</v>
      </c>
      <c r="M386" s="14"/>
    </row>
    <row r="387" spans="1:13" x14ac:dyDescent="0.25">
      <c r="A387">
        <f>NormData!A393</f>
        <v>0.96068776235066189</v>
      </c>
      <c r="B387">
        <f>NormData!B387</f>
        <v>0.91569126584899452</v>
      </c>
      <c r="C387">
        <f>NormData!B388</f>
        <v>0.92130007429691974</v>
      </c>
      <c r="D387">
        <f>NormData!B389</f>
        <v>0.92070529294504055</v>
      </c>
      <c r="E387">
        <f>NormData!B390</f>
        <v>0.93023803433898067</v>
      </c>
      <c r="F387">
        <f>NormData!B391</f>
        <v>0.92944025593867863</v>
      </c>
      <c r="G387">
        <f>NormData!B392</f>
        <v>0.94128513371415579</v>
      </c>
      <c r="H387" s="14">
        <f>NormData!B393</f>
        <v>0.93679280903255668</v>
      </c>
      <c r="I387" s="24">
        <v>0.94039360474946931</v>
      </c>
      <c r="J387" s="22">
        <v>45323</v>
      </c>
      <c r="K387" s="16">
        <f>Table3[[#This Row],[TgtAmount]] * (MAX(Table1[RSXFS]) - MIN(RawData!B:B)) +MIN(Table1[RSXFS])</f>
        <v>603601</v>
      </c>
      <c r="L387" s="15">
        <f>Table3[[#This Row],[Prediction]] * (MAX(Table1[RSXFS]) - MIN(RawData!B:B)) +MIN(Table1[RSXFS])</f>
        <v>605374.81678447407</v>
      </c>
      <c r="M387" s="14"/>
    </row>
    <row r="388" spans="1:13" x14ac:dyDescent="0.25">
      <c r="A388">
        <f>NormData!A394</f>
        <v>0.96319018404907975</v>
      </c>
      <c r="B388">
        <f>NormData!B388</f>
        <v>0.92130007429691974</v>
      </c>
      <c r="C388">
        <f>NormData!B389</f>
        <v>0.92070529294504055</v>
      </c>
      <c r="D388">
        <f>NormData!B390</f>
        <v>0.93023803433898067</v>
      </c>
      <c r="E388">
        <f>NormData!B391</f>
        <v>0.92944025593867863</v>
      </c>
      <c r="F388">
        <f>NormData!B392</f>
        <v>0.94128513371415579</v>
      </c>
      <c r="G388">
        <f>NormData!B393</f>
        <v>0.93679280903255668</v>
      </c>
      <c r="H388" s="14">
        <f>NormData!B394</f>
        <v>0.94729384634747416</v>
      </c>
      <c r="I388" s="24">
        <v>0.94043365286859104</v>
      </c>
      <c r="J388" s="22">
        <v>45352</v>
      </c>
      <c r="K388" s="16">
        <f>Table3[[#This Row],[TgtAmount]] * (MAX(Table1[RSXFS]) - MIN(RawData!B:B)) +MIN(Table1[RSXFS])</f>
        <v>608774</v>
      </c>
      <c r="L388" s="15">
        <f>Table3[[#This Row],[Prediction]] * (MAX(Table1[RSXFS]) - MIN(RawData!B:B)) +MIN(Table1[RSXFS])</f>
        <v>605394.54520881956</v>
      </c>
      <c r="M388" s="14"/>
    </row>
    <row r="389" spans="1:13" x14ac:dyDescent="0.25">
      <c r="A389">
        <f>NormData!A395</f>
        <v>0.96561188246690344</v>
      </c>
      <c r="B389">
        <f>NormData!B389</f>
        <v>0.92070529294504055</v>
      </c>
      <c r="C389">
        <f>NormData!B390</f>
        <v>0.93023803433898067</v>
      </c>
      <c r="D389">
        <f>NormData!B391</f>
        <v>0.92944025593867863</v>
      </c>
      <c r="E389">
        <f>NormData!B392</f>
        <v>0.94128513371415579</v>
      </c>
      <c r="F389">
        <f>NormData!B393</f>
        <v>0.93679280903255668</v>
      </c>
      <c r="G389">
        <f>NormData!B394</f>
        <v>0.94729384634747416</v>
      </c>
      <c r="H389" s="14">
        <f>NormData!B395</f>
        <v>0.95540966834342234</v>
      </c>
      <c r="I389" s="24">
        <v>0.94425343526349281</v>
      </c>
      <c r="J389" s="22">
        <v>45383</v>
      </c>
      <c r="K389" s="16">
        <f>Table3[[#This Row],[TgtAmount]] * (MAX(Table1[RSXFS]) - MIN(RawData!B:B)) +MIN(Table1[RSXFS])</f>
        <v>612772</v>
      </c>
      <c r="L389" s="15">
        <f>Table3[[#This Row],[Prediction]] * (MAX(Table1[RSXFS]) - MIN(RawData!B:B)) +MIN(Table1[RSXFS])</f>
        <v>607276.23877263127</v>
      </c>
      <c r="M389" s="14"/>
    </row>
    <row r="390" spans="1:13" x14ac:dyDescent="0.25">
      <c r="A390">
        <f>NormData!A396</f>
        <v>0.96811430416532129</v>
      </c>
      <c r="B390">
        <f>NormData!B390</f>
        <v>0.93023803433898067</v>
      </c>
      <c r="C390">
        <f>NormData!B391</f>
        <v>0.92944025593867863</v>
      </c>
      <c r="D390">
        <f>NormData!B392</f>
        <v>0.94128513371415579</v>
      </c>
      <c r="E390">
        <f>NormData!B393</f>
        <v>0.93679280903255668</v>
      </c>
      <c r="F390">
        <f>NormData!B394</f>
        <v>0.94729384634747416</v>
      </c>
      <c r="G390">
        <f>NormData!B395</f>
        <v>0.95540966834342234</v>
      </c>
      <c r="H390" s="14">
        <f>NormData!B396</f>
        <v>0.9626607229130888</v>
      </c>
      <c r="I390" s="24">
        <v>0.94690113333278747</v>
      </c>
      <c r="J390" s="22">
        <v>45413</v>
      </c>
      <c r="K390" s="16">
        <f>Table3[[#This Row],[TgtAmount]] * (MAX(Table1[RSXFS]) - MIN(RawData!B:B)) +MIN(Table1[RSXFS])</f>
        <v>616344</v>
      </c>
      <c r="L390" s="15">
        <f>Table3[[#This Row],[Prediction]] * (MAX(Table1[RSXFS]) - MIN(RawData!B:B)) +MIN(Table1[RSXFS])</f>
        <v>608580.54250013107</v>
      </c>
      <c r="M390" s="14"/>
    </row>
    <row r="391" spans="1:13" x14ac:dyDescent="0.25">
      <c r="A391">
        <f>NormData!A397</f>
        <v>0.97053600258314499</v>
      </c>
      <c r="B391">
        <f>NormData!B391</f>
        <v>0.92944025593867863</v>
      </c>
      <c r="C391">
        <f>NormData!B392</f>
        <v>0.94128513371415579</v>
      </c>
      <c r="D391">
        <f>NormData!B393</f>
        <v>0.93679280903255668</v>
      </c>
      <c r="E391">
        <f>NormData!B394</f>
        <v>0.94729384634747416</v>
      </c>
      <c r="F391">
        <f>NormData!B395</f>
        <v>0.95540966834342234</v>
      </c>
      <c r="G391">
        <f>NormData!B396</f>
        <v>0.9626607229130888</v>
      </c>
      <c r="H391" s="14">
        <f>NormData!B397</f>
        <v>0.97374233178649583</v>
      </c>
      <c r="I391" s="24">
        <v>0.94951959200223324</v>
      </c>
      <c r="J391" s="22">
        <v>45444</v>
      </c>
      <c r="K391" s="16">
        <f>Table3[[#This Row],[TgtAmount]] * (MAX(Table1[RSXFS]) - MIN(RawData!B:B)) +MIN(Table1[RSXFS])</f>
        <v>621803</v>
      </c>
      <c r="L391" s="15">
        <f>Table3[[#This Row],[Prediction]] * (MAX(Table1[RSXFS]) - MIN(RawData!B:B)) +MIN(Table1[RSXFS])</f>
        <v>609870.44237295608</v>
      </c>
      <c r="M391" s="14"/>
    </row>
    <row r="392" spans="1:13" x14ac:dyDescent="0.25">
      <c r="A392">
        <f>NormData!A398</f>
        <v>0.97303842428156284</v>
      </c>
      <c r="B392">
        <f>NormData!B392</f>
        <v>0.94128513371415579</v>
      </c>
      <c r="C392">
        <f>NormData!B393</f>
        <v>0.93679280903255668</v>
      </c>
      <c r="D392">
        <f>NormData!B394</f>
        <v>0.94729384634747416</v>
      </c>
      <c r="E392">
        <f>NormData!B395</f>
        <v>0.95540966834342234</v>
      </c>
      <c r="F392">
        <f>NormData!B396</f>
        <v>0.9626607229130888</v>
      </c>
      <c r="G392">
        <f>NormData!B397</f>
        <v>0.97374233178649583</v>
      </c>
      <c r="H392" s="14">
        <f>NormData!B398</f>
        <v>0.96190760386343988</v>
      </c>
      <c r="I392" s="24">
        <v>0.95300748926783485</v>
      </c>
      <c r="J392" s="22">
        <v>45474</v>
      </c>
      <c r="K392" s="16">
        <f>Table3[[#This Row],[TgtAmount]] * (MAX(Table1[RSXFS]) - MIN(RawData!B:B)) +MIN(Table1[RSXFS])</f>
        <v>615973</v>
      </c>
      <c r="L392" s="15">
        <f>Table3[[#This Row],[Prediction]] * (MAX(Table1[RSXFS]) - MIN(RawData!B:B)) +MIN(Table1[RSXFS])</f>
        <v>611588.64334814227</v>
      </c>
      <c r="M392" s="14"/>
    </row>
    <row r="393" spans="1:13" x14ac:dyDescent="0.25">
      <c r="A393">
        <f>NormData!A399</f>
        <v>0.97554084597998059</v>
      </c>
      <c r="B393">
        <f>NormData!B393</f>
        <v>0.93679280903255668</v>
      </c>
      <c r="C393">
        <f>NormData!B394</f>
        <v>0.94729384634747416</v>
      </c>
      <c r="D393">
        <f>NormData!B395</f>
        <v>0.95540966834342234</v>
      </c>
      <c r="E393">
        <f>NormData!B396</f>
        <v>0.9626607229130888</v>
      </c>
      <c r="F393">
        <f>NormData!B397</f>
        <v>0.97374233178649583</v>
      </c>
      <c r="G393">
        <f>NormData!B398</f>
        <v>0.96190760386343988</v>
      </c>
      <c r="H393" s="14">
        <f>NormData!B399</f>
        <v>0.96341181199225367</v>
      </c>
      <c r="I393" s="24">
        <v>0.95199766648687079</v>
      </c>
      <c r="J393" s="22">
        <v>45505</v>
      </c>
      <c r="K393" s="16">
        <f>Table3[[#This Row],[TgtAmount]] * (MAX(Table1[RSXFS]) - MIN(RawData!B:B)) +MIN(Table1[RSXFS])</f>
        <v>616714</v>
      </c>
      <c r="L393" s="15">
        <f>Table3[[#This Row],[Prediction]] * (MAX(Table1[RSXFS]) - MIN(RawData!B:B)) +MIN(Table1[RSXFS])</f>
        <v>611091.18646942929</v>
      </c>
      <c r="M393" s="14"/>
    </row>
    <row r="394" spans="1:13" x14ac:dyDescent="0.25">
      <c r="A394">
        <f>NormData!A400</f>
        <v>0.97780109783661606</v>
      </c>
      <c r="B394">
        <f>NormData!B394</f>
        <v>0.94729384634747416</v>
      </c>
      <c r="C394">
        <f>NormData!B395</f>
        <v>0.95540966834342234</v>
      </c>
      <c r="D394">
        <f>NormData!B396</f>
        <v>0.9626607229130888</v>
      </c>
      <c r="E394">
        <f>NormData!B397</f>
        <v>0.97374233178649583</v>
      </c>
      <c r="F394">
        <f>NormData!B398</f>
        <v>0.96190760386343988</v>
      </c>
      <c r="G394">
        <f>NormData!B399</f>
        <v>0.96341181199225367</v>
      </c>
      <c r="H394" s="14">
        <f>NormData!B400</f>
        <v>0.98047777385316814</v>
      </c>
      <c r="I394" s="24">
        <v>0.95473055784514482</v>
      </c>
      <c r="J394" s="22">
        <v>45536</v>
      </c>
      <c r="K394" s="16">
        <f>Table3[[#This Row],[TgtAmount]] * (MAX(Table1[RSXFS]) - MIN(RawData!B:B)) +MIN(Table1[RSXFS])</f>
        <v>625121</v>
      </c>
      <c r="L394" s="15">
        <f>Table3[[#This Row],[Prediction]] * (MAX(Table1[RSXFS]) - MIN(RawData!B:B)) +MIN(Table1[RSXFS])</f>
        <v>612437.45794455963</v>
      </c>
      <c r="M394" s="14"/>
    </row>
    <row r="395" spans="1:13" x14ac:dyDescent="0.25">
      <c r="A395">
        <f>NormData!A401</f>
        <v>0.98030351953503392</v>
      </c>
      <c r="B395">
        <f>NormData!B395</f>
        <v>0.95540966834342234</v>
      </c>
      <c r="C395">
        <f>NormData!B396</f>
        <v>0.9626607229130888</v>
      </c>
      <c r="D395">
        <f>NormData!B397</f>
        <v>0.97374233178649583</v>
      </c>
      <c r="E395">
        <f>NormData!B398</f>
        <v>0.96190760386343988</v>
      </c>
      <c r="F395">
        <f>NormData!B399</f>
        <v>0.96341181199225367</v>
      </c>
      <c r="G395">
        <f>NormData!B400</f>
        <v>0.98047777385316814</v>
      </c>
      <c r="H395" s="14">
        <f>NormData!B401</f>
        <v>0.97722982107840151</v>
      </c>
      <c r="I395" s="24">
        <v>0.958374296877471</v>
      </c>
      <c r="J395" s="22">
        <v>45566</v>
      </c>
      <c r="K395" s="16">
        <f>Table3[[#This Row],[TgtAmount]] * (MAX(Table1[RSXFS]) - MIN(RawData!B:B)) +MIN(Table1[RSXFS])</f>
        <v>623521</v>
      </c>
      <c r="L395" s="15">
        <f>Table3[[#This Row],[Prediction]] * (MAX(Table1[RSXFS]) - MIN(RawData!B:B)) +MIN(Table1[RSXFS])</f>
        <v>614232.42937918601</v>
      </c>
      <c r="M395" s="14"/>
    </row>
    <row r="396" spans="1:13" x14ac:dyDescent="0.25">
      <c r="A396">
        <f>NormData!A402</f>
        <v>0.98272521795285761</v>
      </c>
      <c r="B396">
        <f>NormData!B396</f>
        <v>0.9626607229130888</v>
      </c>
      <c r="C396">
        <f>NormData!B397</f>
        <v>0.97374233178649583</v>
      </c>
      <c r="D396">
        <f>NormData!B398</f>
        <v>0.96190760386343988</v>
      </c>
      <c r="E396">
        <f>NormData!B399</f>
        <v>0.96341181199225367</v>
      </c>
      <c r="F396">
        <f>NormData!B400</f>
        <v>0.98047777385316814</v>
      </c>
      <c r="G396">
        <f>NormData!B401</f>
        <v>0.97722982107840151</v>
      </c>
      <c r="H396" s="14">
        <f>NormData!B402</f>
        <v>0.96609746294288878</v>
      </c>
      <c r="I396" s="24">
        <v>0.95889273116691487</v>
      </c>
      <c r="J396" s="22">
        <v>45597</v>
      </c>
      <c r="K396" s="16">
        <f>Table3[[#This Row],[TgtAmount]] * (MAX(Table1[RSXFS]) - MIN(RawData!B:B)) +MIN(Table1[RSXFS])</f>
        <v>618037</v>
      </c>
      <c r="L396" s="15">
        <f>Table3[[#This Row],[Prediction]] * (MAX(Table1[RSXFS]) - MIN(RawData!B:B)) +MIN(Table1[RSXFS])</f>
        <v>614487.81944198324</v>
      </c>
      <c r="M396" s="14"/>
    </row>
    <row r="397" spans="1:13" x14ac:dyDescent="0.25">
      <c r="A397">
        <f>NormData!A403</f>
        <v>0.98522763965127547</v>
      </c>
      <c r="B397">
        <f>NormData!B397</f>
        <v>0.97374233178649583</v>
      </c>
      <c r="C397">
        <f>NormData!B398</f>
        <v>0.96190760386343988</v>
      </c>
      <c r="D397">
        <f>NormData!B399</f>
        <v>0.96341181199225367</v>
      </c>
      <c r="E397">
        <f>NormData!B400</f>
        <v>0.98047777385316814</v>
      </c>
      <c r="F397">
        <f>NormData!B401</f>
        <v>0.97722982107840151</v>
      </c>
      <c r="G397">
        <f>NormData!B402</f>
        <v>0.96609746294288878</v>
      </c>
      <c r="H397" s="14">
        <f>NormData!B403</f>
        <v>0.97849855263104479</v>
      </c>
      <c r="I397" s="24">
        <v>0.95859641247700689</v>
      </c>
      <c r="J397" s="22">
        <v>45627</v>
      </c>
      <c r="K397" s="16">
        <f>Table3[[#This Row],[TgtAmount]] * (MAX(Table1[RSXFS]) - MIN(RawData!B:B)) +MIN(Table1[RSXFS])</f>
        <v>624146</v>
      </c>
      <c r="L397" s="15">
        <f>Table3[[#This Row],[Prediction]] * (MAX(Table1[RSXFS]) - MIN(RawData!B:B)) +MIN(Table1[RSXFS])</f>
        <v>614341.84752159822</v>
      </c>
      <c r="M397" s="14"/>
    </row>
    <row r="398" spans="1:13" x14ac:dyDescent="0.25">
      <c r="A398">
        <f>NormData!A404</f>
        <v>0.98764933806909916</v>
      </c>
      <c r="B398">
        <f>NormData!B398</f>
        <v>0.96190760386343988</v>
      </c>
      <c r="C398">
        <f>NormData!B399</f>
        <v>0.96341181199225367</v>
      </c>
      <c r="D398">
        <f>NormData!B400</f>
        <v>0.98047777385316814</v>
      </c>
      <c r="E398">
        <f>NormData!B401</f>
        <v>0.97722982107840151</v>
      </c>
      <c r="F398">
        <f>NormData!B402</f>
        <v>0.96609746294288878</v>
      </c>
      <c r="G398">
        <f>NormData!B403</f>
        <v>0.97849855263104479</v>
      </c>
      <c r="H398" s="14">
        <f>NormData!B404</f>
        <v>0.98783844682898314</v>
      </c>
      <c r="I398" s="24">
        <v>0.96027921428409657</v>
      </c>
      <c r="J398" s="22">
        <v>45658</v>
      </c>
      <c r="K398" s="16">
        <f>Table3[[#This Row],[TgtAmount]] * (MAX(Table1[RSXFS]) - MIN(RawData!B:B)) +MIN(Table1[RSXFS])</f>
        <v>628747</v>
      </c>
      <c r="L398" s="15">
        <f>Table3[[#This Row],[Prediction]] * (MAX(Table1[RSXFS]) - MIN(RawData!B:B)) +MIN(Table1[RSXFS])</f>
        <v>615170.82598220301</v>
      </c>
      <c r="M398" s="14"/>
    </row>
    <row r="399" spans="1:13" x14ac:dyDescent="0.25">
      <c r="A399">
        <f>NormData!A405</f>
        <v>0.9901517597675169</v>
      </c>
      <c r="B399">
        <f>NormData!B399</f>
        <v>0.96341181199225367</v>
      </c>
      <c r="C399">
        <f>NormData!B400</f>
        <v>0.98047777385316814</v>
      </c>
      <c r="D399">
        <f>NormData!B401</f>
        <v>0.97722982107840151</v>
      </c>
      <c r="E399">
        <f>NormData!B402</f>
        <v>0.96609746294288878</v>
      </c>
      <c r="F399">
        <f>NormData!B403</f>
        <v>0.97849855263104479</v>
      </c>
      <c r="G399">
        <f>NormData!B404</f>
        <v>0.98783844682898314</v>
      </c>
      <c r="H399" s="14">
        <f>NormData!B405</f>
        <v>0.99474440641633066</v>
      </c>
      <c r="I399" s="24">
        <v>0.96212755096291902</v>
      </c>
      <c r="J399" s="22">
        <v>45689</v>
      </c>
      <c r="K399" s="16">
        <f>Table3[[#This Row],[TgtAmount]] * (MAX(Table1[RSXFS]) - MIN(RawData!B:B)) +MIN(Table1[RSXFS])</f>
        <v>632149</v>
      </c>
      <c r="L399" s="15">
        <f>Table3[[#This Row],[Prediction]] * (MAX(Table1[RSXFS]) - MIN(RawData!B:B)) +MIN(Table1[RSXFS])</f>
        <v>616081.34990025125</v>
      </c>
      <c r="M399" s="14"/>
    </row>
    <row r="400" spans="1:13" x14ac:dyDescent="0.25">
      <c r="A400">
        <f>NormData!A406</f>
        <v>0.99265418146593476</v>
      </c>
      <c r="B400">
        <f>NormData!B400</f>
        <v>0.98047777385316814</v>
      </c>
      <c r="C400">
        <f>NormData!B401</f>
        <v>0.97722982107840151</v>
      </c>
      <c r="D400">
        <f>NormData!B402</f>
        <v>0.96609746294288878</v>
      </c>
      <c r="E400">
        <f>NormData!B403</f>
        <v>0.97849855263104479</v>
      </c>
      <c r="F400">
        <f>NormData!B404</f>
        <v>0.98783844682898314</v>
      </c>
      <c r="G400">
        <f>NormData!B405</f>
        <v>0.99474440641633066</v>
      </c>
      <c r="H400" s="14">
        <f>NormData!B406</f>
        <v>0.99524377915545104</v>
      </c>
      <c r="I400" s="24">
        <v>0.964413600748393</v>
      </c>
      <c r="J400" s="22">
        <v>45717</v>
      </c>
      <c r="K400" s="16">
        <f>Table3[[#This Row],[TgtAmount]] * (MAX(Table1[RSXFS]) - MIN(RawData!B:B)) +MIN(Table1[RSXFS])</f>
        <v>632395</v>
      </c>
      <c r="L400" s="15">
        <f>Table3[[#This Row],[Prediction]] * (MAX(Table1[RSXFS]) - MIN(RawData!B:B)) +MIN(Table1[RSXFS])</f>
        <v>617207.49917347194</v>
      </c>
      <c r="M400" s="14"/>
    </row>
    <row r="401" spans="1:13" x14ac:dyDescent="0.25">
      <c r="A401">
        <f>NormData!A407</f>
        <v>0.99507587988375845</v>
      </c>
      <c r="B401">
        <f>NormData!B401</f>
        <v>0.97722982107840151</v>
      </c>
      <c r="C401">
        <f>NormData!B402</f>
        <v>0.96609746294288878</v>
      </c>
      <c r="D401">
        <f>NormData!B403</f>
        <v>0.97849855263104479</v>
      </c>
      <c r="E401">
        <f>NormData!B404</f>
        <v>0.98783844682898314</v>
      </c>
      <c r="F401">
        <f>NormData!B405</f>
        <v>0.99474440641633066</v>
      </c>
      <c r="G401">
        <f>NormData!B406</f>
        <v>0.99524377915545104</v>
      </c>
      <c r="H401" s="14">
        <f>NormData!B407</f>
        <v>0.99311434011749466</v>
      </c>
      <c r="I401" s="24">
        <v>0.96452683531169781</v>
      </c>
      <c r="J401" s="22">
        <v>45748</v>
      </c>
      <c r="K401" s="16">
        <f>Table3[[#This Row],[TgtAmount]] * (MAX(Table1[RSXFS]) - MIN(RawData!B:B)) +MIN(Table1[RSXFS])</f>
        <v>631346</v>
      </c>
      <c r="L401" s="15">
        <f>Table3[[#This Row],[Prediction]] * (MAX(Table1[RSXFS]) - MIN(RawData!B:B)) +MIN(Table1[RSXFS])</f>
        <v>617263.28055757796</v>
      </c>
      <c r="M401" s="14"/>
    </row>
    <row r="402" spans="1:13" x14ac:dyDescent="0.25">
      <c r="A402">
        <f>NormData!A408</f>
        <v>0.99757830158217631</v>
      </c>
      <c r="B402">
        <f>NormData!B402</f>
        <v>0.96609746294288878</v>
      </c>
      <c r="C402">
        <f>NormData!B403</f>
        <v>0.97849855263104479</v>
      </c>
      <c r="D402">
        <f>NormData!B404</f>
        <v>0.98783844682898314</v>
      </c>
      <c r="E402">
        <f>NormData!B405</f>
        <v>0.99474440641633066</v>
      </c>
      <c r="F402">
        <f>NormData!B406</f>
        <v>0.99524377915545104</v>
      </c>
      <c r="G402">
        <f>NormData!B407</f>
        <v>0.99311434011749466</v>
      </c>
      <c r="H402" s="14">
        <f>NormData!B408</f>
        <v>0.99994519079692579</v>
      </c>
      <c r="I402" s="24">
        <v>0.96479022995627517</v>
      </c>
      <c r="J402" s="22">
        <v>45778</v>
      </c>
      <c r="K402" s="16">
        <f>Table3[[#This Row],[TgtAmount]] * (MAX(Table1[RSXFS]) - MIN(RawData!B:B)) +MIN(Table1[RSXFS])</f>
        <v>634711</v>
      </c>
      <c r="L402" s="15">
        <f>Table3[[#This Row],[Prediction]] * (MAX(Table1[RSXFS]) - MIN(RawData!B:B)) +MIN(Table1[RSXFS])</f>
        <v>617393.03350060037</v>
      </c>
      <c r="M402" s="14"/>
    </row>
    <row r="403" spans="1:13" x14ac:dyDescent="0.25">
      <c r="A403">
        <f>NormData!A409</f>
        <v>1</v>
      </c>
      <c r="B403">
        <f>NormData!B403</f>
        <v>0.97849855263104479</v>
      </c>
      <c r="C403">
        <f>NormData!B404</f>
        <v>0.98783844682898314</v>
      </c>
      <c r="D403">
        <f>NormData!B405</f>
        <v>0.99474440641633066</v>
      </c>
      <c r="E403">
        <f>NormData!B406</f>
        <v>0.99524377915545104</v>
      </c>
      <c r="F403">
        <f>NormData!B407</f>
        <v>0.99311434011749466</v>
      </c>
      <c r="G403">
        <f>NormData!B408</f>
        <v>0.99994519079692579</v>
      </c>
      <c r="H403" s="14">
        <f>NormData!B409</f>
        <v>1</v>
      </c>
      <c r="I403" s="24">
        <v>0.96717913634347541</v>
      </c>
      <c r="J403" s="22">
        <v>45809</v>
      </c>
      <c r="K403" s="16">
        <f>Table3[[#This Row],[TgtAmount]] * (MAX(Table1[RSXFS]) - MIN(RawData!B:B)) +MIN(Table1[RSXFS])</f>
        <v>634738</v>
      </c>
      <c r="L403" s="15">
        <f>Table3[[#This Row],[Prediction]] * (MAX(Table1[RSXFS]) - MIN(RawData!B:B)) +MIN(Table1[RSXFS])</f>
        <v>618569.85178725026</v>
      </c>
      <c r="M403" s="14"/>
    </row>
    <row r="404" spans="1:13" x14ac:dyDescent="0.25">
      <c r="A404" s="20"/>
      <c r="B404" s="20"/>
      <c r="C404" s="20"/>
      <c r="D404" s="20"/>
      <c r="E404" s="20"/>
      <c r="F404" s="20"/>
      <c r="G404" s="20"/>
      <c r="H404" s="21"/>
      <c r="I404" s="25"/>
      <c r="J404" s="22"/>
      <c r="K404" s="16"/>
      <c r="L404" s="15"/>
    </row>
    <row r="405" spans="1:13" x14ac:dyDescent="0.25">
      <c r="A405" s="20"/>
      <c r="B405" s="20"/>
      <c r="C405" s="20"/>
      <c r="D405" s="20"/>
      <c r="E405" s="20"/>
      <c r="F405" s="20"/>
      <c r="G405" s="20"/>
      <c r="H405" s="21"/>
      <c r="I405" s="25"/>
      <c r="J405" s="22"/>
      <c r="K405" s="16"/>
      <c r="L405" s="15"/>
    </row>
    <row r="406" spans="1:13" x14ac:dyDescent="0.25">
      <c r="A406" s="20"/>
      <c r="B406" s="20"/>
      <c r="C406" s="20"/>
      <c r="D406" s="20"/>
      <c r="E406" s="20"/>
      <c r="F406" s="20"/>
      <c r="G406" s="20"/>
      <c r="H406" s="21"/>
      <c r="I406" s="25"/>
      <c r="J406" s="22"/>
      <c r="K406" s="16"/>
      <c r="L406" s="15"/>
    </row>
    <row r="407" spans="1:13" x14ac:dyDescent="0.25">
      <c r="A407" s="20"/>
      <c r="B407" s="20"/>
      <c r="C407" s="20"/>
      <c r="D407" s="20"/>
      <c r="E407" s="20"/>
      <c r="F407" s="20"/>
      <c r="G407" s="20"/>
      <c r="H407" s="21"/>
      <c r="I407" s="25"/>
      <c r="J407" s="22"/>
      <c r="K407" s="16"/>
      <c r="L407" s="15"/>
    </row>
    <row r="408" spans="1:13" x14ac:dyDescent="0.25">
      <c r="A408" s="20"/>
      <c r="B408" s="20"/>
      <c r="C408" s="20"/>
      <c r="D408" s="20"/>
      <c r="E408" s="20"/>
      <c r="F408" s="20"/>
      <c r="G408" s="20"/>
      <c r="H408" s="21"/>
      <c r="I408" s="25"/>
      <c r="J408" s="22"/>
      <c r="K408" s="16"/>
      <c r="L408" s="15"/>
    </row>
    <row r="409" spans="1:13" x14ac:dyDescent="0.25">
      <c r="A409" s="20"/>
      <c r="B409" s="20"/>
      <c r="C409" s="20"/>
      <c r="D409" s="20"/>
      <c r="E409" s="20"/>
      <c r="F409" s="20"/>
      <c r="G409" s="20"/>
      <c r="H409" s="21"/>
      <c r="I409" s="25"/>
      <c r="J409" s="22"/>
      <c r="K409" s="16"/>
      <c r="L409" s="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13</xdr:col>
                    <xdr:colOff>361950</xdr:colOff>
                    <xdr:row>2</xdr:row>
                    <xdr:rowOff>95250</xdr:rowOff>
                  </from>
                  <to>
                    <xdr:col>13</xdr:col>
                    <xdr:colOff>1743075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RawData</vt:lpstr>
      <vt:lpstr>NormData</vt:lpstr>
      <vt:lpstr>FinalData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Maddox</dc:creator>
  <cp:lastModifiedBy>Will Maddox</cp:lastModifiedBy>
  <dcterms:created xsi:type="dcterms:W3CDTF">2026-03-02T12:52:39Z</dcterms:created>
  <dcterms:modified xsi:type="dcterms:W3CDTF">2026-03-02T19:31:25Z</dcterms:modified>
</cp:coreProperties>
</file>